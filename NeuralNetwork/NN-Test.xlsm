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DU\TGit\SomethingExcel\NeuralNetwork\"/>
    </mc:Choice>
  </mc:AlternateContent>
  <bookViews>
    <workbookView xWindow="90" yWindow="135" windowWidth="24300" windowHeight="12330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A25" i="1" l="1"/>
  <c r="AA24" i="1"/>
  <c r="AA23" i="1"/>
  <c r="AA22" i="1"/>
  <c r="V25" i="1"/>
  <c r="V24" i="1"/>
  <c r="V23" i="1"/>
  <c r="V22" i="1"/>
  <c r="Q25" i="1"/>
  <c r="Q24" i="1"/>
  <c r="Q22" i="1"/>
  <c r="L25" i="1"/>
  <c r="L24" i="1"/>
  <c r="L23" i="1"/>
  <c r="L22" i="1"/>
  <c r="AA19" i="1"/>
  <c r="AA18" i="1"/>
  <c r="AA17" i="1"/>
  <c r="AA16" i="1"/>
  <c r="V19" i="1"/>
  <c r="V18" i="1"/>
  <c r="V17" i="1"/>
  <c r="V16" i="1"/>
  <c r="Q19" i="1"/>
  <c r="Q18" i="1"/>
  <c r="Q17" i="1"/>
  <c r="Q16" i="1"/>
  <c r="L19" i="1"/>
  <c r="L18" i="1"/>
  <c r="L17" i="1"/>
  <c r="L16" i="1"/>
  <c r="AA13" i="1"/>
  <c r="AA12" i="1"/>
  <c r="AA11" i="1"/>
  <c r="AA10" i="1"/>
  <c r="V13" i="1"/>
  <c r="V12" i="1"/>
  <c r="V11" i="1"/>
  <c r="V10" i="1"/>
  <c r="Q13" i="1"/>
  <c r="Q12" i="1"/>
  <c r="Q11" i="1"/>
  <c r="Q10" i="1"/>
  <c r="L13" i="1"/>
  <c r="L12" i="1"/>
  <c r="L11" i="1"/>
  <c r="L10" i="1"/>
  <c r="AA7" i="1"/>
  <c r="AA6" i="1"/>
  <c r="AA5" i="1"/>
  <c r="AA4" i="1"/>
  <c r="V7" i="1"/>
  <c r="V6" i="1"/>
  <c r="V5" i="1"/>
  <c r="V4" i="1"/>
  <c r="Q7" i="1"/>
  <c r="Q6" i="1"/>
  <c r="Q5" i="1"/>
  <c r="Q4" i="1"/>
  <c r="L7" i="1"/>
  <c r="L6" i="1"/>
  <c r="L5" i="1"/>
  <c r="L4" i="1"/>
  <c r="Q23" i="1"/>
  <c r="X22" i="1" l="1"/>
  <c r="Y22" i="1" s="1"/>
  <c r="S22" i="1"/>
  <c r="T22" i="1" s="1"/>
  <c r="N22" i="1"/>
  <c r="O22" i="1" s="1"/>
  <c r="AC16" i="1"/>
  <c r="AD16" i="1" s="1"/>
  <c r="X16" i="1"/>
  <c r="Y16" i="1" s="1"/>
  <c r="S16" i="1"/>
  <c r="T16" i="1" s="1"/>
  <c r="N16" i="1"/>
  <c r="O16" i="1" s="1"/>
  <c r="X10" i="1"/>
  <c r="Y10" i="1" s="1"/>
  <c r="AC22" i="1"/>
  <c r="AD22" i="1" s="1"/>
  <c r="AC10" i="1"/>
  <c r="AD10" i="1" s="1"/>
  <c r="S10" i="1"/>
  <c r="T10" i="1" s="1"/>
  <c r="AL35" i="1" l="1"/>
  <c r="AG15" i="1"/>
  <c r="AG35" i="1"/>
  <c r="AQ15" i="1"/>
  <c r="AV35" i="1"/>
  <c r="AQ35" i="1"/>
  <c r="AV15" i="1"/>
  <c r="BA15" i="1"/>
  <c r="BA35" i="1"/>
  <c r="AL15" i="1"/>
  <c r="AV11" i="1"/>
  <c r="AG11" i="1"/>
  <c r="BA31" i="1"/>
  <c r="AV31" i="1"/>
  <c r="AQ11" i="1"/>
  <c r="AQ31" i="1"/>
  <c r="AL31" i="1"/>
  <c r="BA11" i="1"/>
  <c r="AG31" i="1"/>
  <c r="AL11" i="1"/>
  <c r="AV36" i="1"/>
  <c r="AQ36" i="1"/>
  <c r="AL36" i="1"/>
  <c r="AV16" i="1"/>
  <c r="AG36" i="1"/>
  <c r="BA16" i="1"/>
  <c r="AQ16" i="1"/>
  <c r="AG16" i="1"/>
  <c r="BA36" i="1"/>
  <c r="AL16" i="1"/>
  <c r="BA39" i="1"/>
  <c r="AL19" i="1"/>
  <c r="AG39" i="1"/>
  <c r="AV39" i="1"/>
  <c r="AQ39" i="1"/>
  <c r="AV19" i="1"/>
  <c r="AG19" i="1"/>
  <c r="AQ19" i="1"/>
  <c r="AL39" i="1"/>
  <c r="BA19" i="1"/>
  <c r="AL37" i="1"/>
  <c r="AG37" i="1"/>
  <c r="BA17" i="1"/>
  <c r="AV17" i="1"/>
  <c r="AQ17" i="1"/>
  <c r="AL17" i="1"/>
  <c r="BA37" i="1"/>
  <c r="AG17" i="1"/>
  <c r="AV37" i="1"/>
  <c r="AQ37" i="1"/>
  <c r="AV13" i="1"/>
  <c r="AQ13" i="1"/>
  <c r="AQ33" i="1"/>
  <c r="AL33" i="1"/>
  <c r="AG33" i="1"/>
  <c r="BA13" i="1"/>
  <c r="BA33" i="1"/>
  <c r="AL13" i="1"/>
  <c r="AV33" i="1"/>
  <c r="AG13" i="1"/>
  <c r="AG38" i="1"/>
  <c r="AL18" i="1"/>
  <c r="BA18" i="1"/>
  <c r="AG18" i="1"/>
  <c r="BA38" i="1"/>
  <c r="AV18" i="1"/>
  <c r="AV38" i="1"/>
  <c r="AQ38" i="1"/>
  <c r="AQ18" i="1"/>
  <c r="AL38" i="1"/>
  <c r="BA34" i="1"/>
  <c r="AV34" i="1"/>
  <c r="AQ14" i="1"/>
  <c r="AQ34" i="1"/>
  <c r="AG34" i="1"/>
  <c r="AL14" i="1"/>
  <c r="AL34" i="1"/>
  <c r="BA14" i="1"/>
  <c r="AV14" i="1"/>
  <c r="AG14" i="1"/>
  <c r="BA30" i="1"/>
  <c r="AV10" i="1"/>
  <c r="AQ30" i="1"/>
  <c r="AL30" i="1"/>
  <c r="AG30" i="1"/>
  <c r="BA10" i="1"/>
  <c r="AQ10" i="1"/>
  <c r="AG10" i="1"/>
  <c r="AV30" i="1"/>
  <c r="AL10" i="1"/>
  <c r="AG29" i="1"/>
  <c r="AL9" i="1"/>
  <c r="AV9" i="1"/>
  <c r="BA9" i="1"/>
  <c r="AQ9" i="1"/>
  <c r="BA29" i="1"/>
  <c r="AV29" i="1"/>
  <c r="AQ29" i="1"/>
  <c r="AL29" i="1"/>
  <c r="AG9" i="1"/>
  <c r="BA12" i="1"/>
  <c r="AV12" i="1"/>
  <c r="AG32" i="1"/>
  <c r="AQ12" i="1"/>
  <c r="AL12" i="1"/>
  <c r="AG12" i="1"/>
  <c r="BA32" i="1"/>
  <c r="AV32" i="1"/>
  <c r="AQ32" i="1"/>
  <c r="AL32" i="1"/>
  <c r="N10" i="1"/>
  <c r="O10" i="1" s="1"/>
  <c r="AC4" i="1"/>
  <c r="AD4" i="1" s="1"/>
  <c r="X4" i="1"/>
  <c r="Y4" i="1" s="1"/>
  <c r="S4" i="1"/>
  <c r="T4" i="1" s="1"/>
  <c r="N4" i="1"/>
  <c r="O4" i="1" s="1"/>
  <c r="AV27" i="1" l="1"/>
  <c r="AQ27" i="1"/>
  <c r="AV7" i="1"/>
  <c r="AL27" i="1"/>
  <c r="AG7" i="1"/>
  <c r="AG27" i="1"/>
  <c r="AQ7" i="1"/>
  <c r="BA7" i="1"/>
  <c r="BA27" i="1"/>
  <c r="AL7" i="1"/>
  <c r="AQ28" i="1"/>
  <c r="AV8" i="1"/>
  <c r="AL28" i="1"/>
  <c r="AG28" i="1"/>
  <c r="AL8" i="1"/>
  <c r="BA8" i="1"/>
  <c r="BA28" i="1"/>
  <c r="AV28" i="1"/>
  <c r="AG8" i="1"/>
  <c r="AQ8" i="1"/>
  <c r="BA24" i="1"/>
  <c r="AV4" i="1"/>
  <c r="AV24" i="1"/>
  <c r="AQ24" i="1"/>
  <c r="BA4" i="1"/>
  <c r="AL24" i="1"/>
  <c r="AG24" i="1"/>
  <c r="AL4" i="1"/>
  <c r="AG4" i="1"/>
  <c r="AQ4" i="1"/>
  <c r="AV26" i="1"/>
  <c r="AG6" i="1"/>
  <c r="AQ26" i="1"/>
  <c r="AV6" i="1"/>
  <c r="AL26" i="1"/>
  <c r="AG26" i="1"/>
  <c r="AL6" i="1"/>
  <c r="BA6" i="1"/>
  <c r="AQ6" i="1"/>
  <c r="BA26" i="1"/>
  <c r="BA5" i="1"/>
  <c r="AG5" i="1"/>
  <c r="BA25" i="1"/>
  <c r="AL5" i="1"/>
  <c r="AV25" i="1"/>
  <c r="AV5" i="1"/>
  <c r="AQ25" i="1"/>
  <c r="AQ5" i="1"/>
  <c r="AL25" i="1"/>
  <c r="AG25" i="1"/>
  <c r="AN24" i="1" l="1"/>
  <c r="AO24" i="1" s="1"/>
  <c r="BC24" i="1"/>
  <c r="BD24" i="1" s="1"/>
  <c r="AS24" i="1"/>
  <c r="AT24" i="1" s="1"/>
  <c r="AX4" i="1"/>
  <c r="AY4" i="1" s="1"/>
  <c r="BC4" i="1"/>
  <c r="BD4" i="1" s="1"/>
  <c r="AI4" i="1"/>
  <c r="AJ4" i="1" s="1"/>
  <c r="AI24" i="1"/>
  <c r="AJ24" i="1" s="1"/>
  <c r="AN4" i="1"/>
  <c r="AO4" i="1" s="1"/>
  <c r="AX24" i="1"/>
  <c r="AY24" i="1" s="1"/>
  <c r="AS4" i="1"/>
  <c r="AT4" i="1" s="1"/>
</calcChain>
</file>

<file path=xl/sharedStrings.xml><?xml version="1.0" encoding="utf-8"?>
<sst xmlns="http://schemas.openxmlformats.org/spreadsheetml/2006/main" count="148" uniqueCount="4">
  <si>
    <t>入力</t>
    <rPh sb="0" eb="2">
      <t>ニュウリョク</t>
    </rPh>
    <phoneticPr fontId="1"/>
  </si>
  <si>
    <t>強度</t>
    <rPh sb="0" eb="2">
      <t>キョウド</t>
    </rPh>
    <phoneticPr fontId="1"/>
  </si>
  <si>
    <t>出力</t>
    <rPh sb="0" eb="2">
      <t>シュツリョク</t>
    </rPh>
    <phoneticPr fontId="1"/>
  </si>
  <si>
    <t>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</si>
</sst>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2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2" fontId="0" fillId="0" borderId="1" xfId="0" applyNumberFormat="1" applyBorder="1">
      <alignment vertical="center"/>
    </xf>
    <xf numFmtId="2" fontId="0" fillId="0" borderId="0" xfId="0" applyNumberFormat="1" applyFill="1" applyBorder="1">
      <alignment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2" fontId="0" fillId="0" borderId="1" xfId="0" applyNumberFormat="1" applyBorder="1" applyProtection="1">
      <alignment vertical="center"/>
      <protection locked="0"/>
    </xf>
    <xf numFmtId="0" fontId="0" fillId="4" borderId="0" xfId="0" applyFill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" fontId="0" fillId="0" borderId="1" xfId="0" applyNumberFormat="1" applyBorder="1">
      <alignment vertical="center"/>
    </xf>
  </cellXfs>
  <cellStyles count="1">
    <cellStyle name="標準" xfId="0" builtinId="0"/>
  </cellStyles>
  <dxfs count="90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19</xdr:row>
          <xdr:rowOff>0</xdr:rowOff>
        </xdr:from>
        <xdr:to>
          <xdr:col>35</xdr:col>
          <xdr:colOff>0</xdr:colOff>
          <xdr:row>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18</xdr:row>
          <xdr:rowOff>161925</xdr:rowOff>
        </xdr:from>
        <xdr:to>
          <xdr:col>40</xdr:col>
          <xdr:colOff>0</xdr:colOff>
          <xdr:row>19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19</xdr:row>
          <xdr:rowOff>0</xdr:rowOff>
        </xdr:from>
        <xdr:to>
          <xdr:col>36</xdr:col>
          <xdr:colOff>0</xdr:colOff>
          <xdr:row>20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19</xdr:row>
          <xdr:rowOff>0</xdr:rowOff>
        </xdr:from>
        <xdr:to>
          <xdr:col>45</xdr:col>
          <xdr:colOff>0</xdr:colOff>
          <xdr:row>20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19</xdr:row>
          <xdr:rowOff>0</xdr:rowOff>
        </xdr:from>
        <xdr:to>
          <xdr:col>50</xdr:col>
          <xdr:colOff>0</xdr:colOff>
          <xdr:row>20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0</xdr:colOff>
          <xdr:row>19</xdr:row>
          <xdr:rowOff>0</xdr:rowOff>
        </xdr:from>
        <xdr:to>
          <xdr:col>55</xdr:col>
          <xdr:colOff>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39</xdr:row>
          <xdr:rowOff>0</xdr:rowOff>
        </xdr:from>
        <xdr:to>
          <xdr:col>35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39</xdr:row>
          <xdr:rowOff>0</xdr:rowOff>
        </xdr:from>
        <xdr:to>
          <xdr:col>40</xdr:col>
          <xdr:colOff>0</xdr:colOff>
          <xdr:row>40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39</xdr:row>
          <xdr:rowOff>0</xdr:rowOff>
        </xdr:from>
        <xdr:to>
          <xdr:col>45</xdr:col>
          <xdr:colOff>0</xdr:colOff>
          <xdr:row>40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39</xdr:row>
          <xdr:rowOff>0</xdr:rowOff>
        </xdr:from>
        <xdr:to>
          <xdr:col>50</xdr:col>
          <xdr:colOff>0</xdr:colOff>
          <xdr:row>40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0</xdr:colOff>
          <xdr:row>39</xdr:row>
          <xdr:rowOff>0</xdr:rowOff>
        </xdr:from>
        <xdr:to>
          <xdr:col>55</xdr:col>
          <xdr:colOff>0</xdr:colOff>
          <xdr:row>40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19</xdr:row>
          <xdr:rowOff>0</xdr:rowOff>
        </xdr:from>
        <xdr:to>
          <xdr:col>41</xdr:col>
          <xdr:colOff>0</xdr:colOff>
          <xdr:row>20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0</xdr:colOff>
          <xdr:row>19</xdr:row>
          <xdr:rowOff>0</xdr:rowOff>
        </xdr:from>
        <xdr:to>
          <xdr:col>46</xdr:col>
          <xdr:colOff>0</xdr:colOff>
          <xdr:row>20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0</xdr:colOff>
          <xdr:row>19</xdr:row>
          <xdr:rowOff>0</xdr:rowOff>
        </xdr:from>
        <xdr:to>
          <xdr:col>51</xdr:col>
          <xdr:colOff>0</xdr:colOff>
          <xdr:row>20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19</xdr:row>
          <xdr:rowOff>0</xdr:rowOff>
        </xdr:from>
        <xdr:to>
          <xdr:col>56</xdr:col>
          <xdr:colOff>0</xdr:colOff>
          <xdr:row>20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39</xdr:row>
          <xdr:rowOff>0</xdr:rowOff>
        </xdr:from>
        <xdr:to>
          <xdr:col>36</xdr:col>
          <xdr:colOff>0</xdr:colOff>
          <xdr:row>40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39</xdr:row>
          <xdr:rowOff>0</xdr:rowOff>
        </xdr:from>
        <xdr:to>
          <xdr:col>41</xdr:col>
          <xdr:colOff>0</xdr:colOff>
          <xdr:row>40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0</xdr:colOff>
          <xdr:row>39</xdr:row>
          <xdr:rowOff>0</xdr:rowOff>
        </xdr:from>
        <xdr:to>
          <xdr:col>46</xdr:col>
          <xdr:colOff>0</xdr:colOff>
          <xdr:row>40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0</xdr:colOff>
          <xdr:row>39</xdr:row>
          <xdr:rowOff>0</xdr:rowOff>
        </xdr:from>
        <xdr:to>
          <xdr:col>51</xdr:col>
          <xdr:colOff>0</xdr:colOff>
          <xdr:row>40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39</xdr:row>
          <xdr:rowOff>0</xdr:rowOff>
        </xdr:from>
        <xdr:to>
          <xdr:col>56</xdr:col>
          <xdr:colOff>0</xdr:colOff>
          <xdr:row>40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BD89"/>
  <sheetViews>
    <sheetView tabSelected="1" zoomScale="70" zoomScaleNormal="70" workbookViewId="0">
      <selection activeCell="L1" sqref="L1:AE1048576"/>
    </sheetView>
  </sheetViews>
  <sheetFormatPr defaultColWidth="6.625" defaultRowHeight="13.5" outlineLevelCol="1" x14ac:dyDescent="0.15"/>
  <cols>
    <col min="1" max="11" width="2.625" customWidth="1"/>
    <col min="12" max="15" width="0" hidden="1" customWidth="1" outlineLevel="1"/>
    <col min="16" max="16" width="2.625" hidden="1" customWidth="1" outlineLevel="1"/>
    <col min="17" max="20" width="0" hidden="1" customWidth="1" outlineLevel="1"/>
    <col min="21" max="21" width="2.625" hidden="1" customWidth="1" outlineLevel="1"/>
    <col min="22" max="25" width="0" hidden="1" customWidth="1" outlineLevel="1"/>
    <col min="26" max="26" width="2.625" hidden="1" customWidth="1" outlineLevel="1"/>
    <col min="27" max="30" width="0" hidden="1" customWidth="1" outlineLevel="1"/>
    <col min="31" max="31" width="2.625" hidden="1" customWidth="1" outlineLevel="1"/>
    <col min="32" max="32" width="2.625" customWidth="1" collapsed="1"/>
    <col min="37" max="37" width="2.625" customWidth="1"/>
    <col min="42" max="42" width="2.625" customWidth="1"/>
    <col min="47" max="47" width="2.625" customWidth="1"/>
    <col min="52" max="52" width="2.625" customWidth="1"/>
    <col min="57" max="57" width="2.625" customWidth="1"/>
  </cols>
  <sheetData>
    <row r="2" spans="1:56" x14ac:dyDescent="0.15">
      <c r="A2" s="14"/>
      <c r="B2" s="14"/>
      <c r="C2" s="14"/>
      <c r="D2" s="14"/>
      <c r="E2" s="14"/>
      <c r="F2" s="14"/>
      <c r="G2" s="14"/>
      <c r="H2" s="14"/>
      <c r="I2" s="14"/>
      <c r="J2" s="14"/>
      <c r="AG2" s="15">
        <v>0</v>
      </c>
      <c r="AH2" s="15"/>
      <c r="AI2" s="15"/>
      <c r="AJ2" s="15"/>
      <c r="AL2" s="15">
        <v>1</v>
      </c>
      <c r="AM2" s="15"/>
      <c r="AN2" s="15"/>
      <c r="AO2" s="15"/>
      <c r="AQ2" s="15">
        <v>2</v>
      </c>
      <c r="AR2" s="15"/>
      <c r="AS2" s="15"/>
      <c r="AT2" s="15"/>
      <c r="AV2" s="15">
        <v>3</v>
      </c>
      <c r="AW2" s="15"/>
      <c r="AX2" s="15"/>
      <c r="AY2" s="15"/>
      <c r="BA2" s="15">
        <v>4</v>
      </c>
      <c r="BB2" s="15"/>
      <c r="BC2" s="15"/>
      <c r="BD2" s="15"/>
    </row>
    <row r="3" spans="1:56" x14ac:dyDescent="0.15">
      <c r="A3" s="14"/>
      <c r="B3" s="9"/>
      <c r="C3" s="8"/>
      <c r="D3" s="9"/>
      <c r="E3" s="8" t="s">
        <v>3</v>
      </c>
      <c r="F3" s="9" t="s">
        <v>3</v>
      </c>
      <c r="G3" s="8"/>
      <c r="H3" s="9"/>
      <c r="I3" s="8"/>
      <c r="J3" s="14"/>
      <c r="L3" s="1" t="s">
        <v>0</v>
      </c>
      <c r="M3" s="1" t="s">
        <v>1</v>
      </c>
      <c r="N3" s="16" t="s">
        <v>2</v>
      </c>
      <c r="O3" s="16"/>
      <c r="Q3" s="1" t="s">
        <v>0</v>
      </c>
      <c r="R3" s="1" t="s">
        <v>1</v>
      </c>
      <c r="S3" s="16" t="s">
        <v>2</v>
      </c>
      <c r="T3" s="16"/>
      <c r="V3" s="1" t="s">
        <v>0</v>
      </c>
      <c r="W3" s="1" t="s">
        <v>1</v>
      </c>
      <c r="X3" s="16" t="s">
        <v>2</v>
      </c>
      <c r="Y3" s="16"/>
      <c r="AA3" s="1" t="s">
        <v>0</v>
      </c>
      <c r="AB3" s="1" t="s">
        <v>1</v>
      </c>
      <c r="AC3" s="16" t="s">
        <v>2</v>
      </c>
      <c r="AD3" s="16"/>
      <c r="AG3" s="1" t="s">
        <v>0</v>
      </c>
      <c r="AH3" s="1" t="s">
        <v>1</v>
      </c>
      <c r="AI3" s="16" t="s">
        <v>2</v>
      </c>
      <c r="AJ3" s="16"/>
      <c r="AL3" s="3" t="s">
        <v>0</v>
      </c>
      <c r="AM3" s="3" t="s">
        <v>1</v>
      </c>
      <c r="AN3" s="16" t="s">
        <v>2</v>
      </c>
      <c r="AO3" s="16"/>
      <c r="AP3" s="11"/>
      <c r="AQ3" s="3" t="s">
        <v>0</v>
      </c>
      <c r="AR3" s="3" t="s">
        <v>1</v>
      </c>
      <c r="AS3" s="16" t="s">
        <v>2</v>
      </c>
      <c r="AT3" s="16"/>
      <c r="AU3" s="12"/>
      <c r="AV3" s="3" t="s">
        <v>0</v>
      </c>
      <c r="AW3" s="3" t="s">
        <v>1</v>
      </c>
      <c r="AX3" s="16" t="s">
        <v>2</v>
      </c>
      <c r="AY3" s="16"/>
      <c r="BA3" s="3" t="s">
        <v>0</v>
      </c>
      <c r="BB3" s="3" t="s">
        <v>1</v>
      </c>
      <c r="BC3" s="16" t="s">
        <v>2</v>
      </c>
      <c r="BD3" s="16"/>
    </row>
    <row r="4" spans="1:56" x14ac:dyDescent="0.15">
      <c r="A4" s="14"/>
      <c r="B4" s="7"/>
      <c r="C4" s="6"/>
      <c r="D4" s="7" t="s">
        <v>3</v>
      </c>
      <c r="E4" s="6"/>
      <c r="F4" s="7"/>
      <c r="G4" s="6" t="s">
        <v>3</v>
      </c>
      <c r="H4" s="7"/>
      <c r="I4" s="6"/>
      <c r="J4" s="14"/>
      <c r="L4" s="2">
        <f>IF($B$3="●",1,0)</f>
        <v>0</v>
      </c>
      <c r="M4" s="13">
        <v>1</v>
      </c>
      <c r="N4" s="17">
        <f>SUMPRODUCT(L4:L7,M4:M7)</f>
        <v>0</v>
      </c>
      <c r="O4" s="17">
        <f>IF(N4&gt;=2,1,0)</f>
        <v>0</v>
      </c>
      <c r="Q4" s="4">
        <f>IF($D$3="●",1,0)</f>
        <v>0</v>
      </c>
      <c r="R4" s="13">
        <v>1</v>
      </c>
      <c r="S4" s="17">
        <f>SUMPRODUCT(Q4:Q7,R4:R7)</f>
        <v>2</v>
      </c>
      <c r="T4" s="17">
        <f>IF(S4&gt;=2,1,0)</f>
        <v>1</v>
      </c>
      <c r="V4" s="4">
        <f>IF($F$3="●",1,0)</f>
        <v>1</v>
      </c>
      <c r="W4" s="13">
        <v>1</v>
      </c>
      <c r="X4" s="17">
        <f>SUMPRODUCT(V4:V7,W4:W7)</f>
        <v>2</v>
      </c>
      <c r="Y4" s="17">
        <f>IF(X4&gt;=2,1,0)</f>
        <v>1</v>
      </c>
      <c r="AA4" s="4">
        <f>IF($H$3="●",1,0)</f>
        <v>0</v>
      </c>
      <c r="AB4" s="13">
        <v>1</v>
      </c>
      <c r="AC4" s="17">
        <f>SUMPRODUCT(AA4:AA7,AB4:AB7)</f>
        <v>0</v>
      </c>
      <c r="AD4" s="17">
        <f>IF(AC4&gt;=2,1,0)</f>
        <v>0</v>
      </c>
      <c r="AG4" s="2">
        <f>$O$4</f>
        <v>0</v>
      </c>
      <c r="AH4" s="13">
        <v>1</v>
      </c>
      <c r="AI4" s="17">
        <f>SUMPRODUCT(AG4:AG19,AH4:AH19)</f>
        <v>9.3600000000000012</v>
      </c>
      <c r="AJ4" s="17">
        <f>IF(AI4&gt;=COUNT(AG4:AG19)/2,1,0)</f>
        <v>1</v>
      </c>
      <c r="AL4" s="4">
        <f>$O$4</f>
        <v>0</v>
      </c>
      <c r="AM4" s="13">
        <v>1</v>
      </c>
      <c r="AN4" s="17">
        <f>SUMPRODUCT(AL4:AL19,AM4:AM19)</f>
        <v>7.9799999999999933</v>
      </c>
      <c r="AO4" s="17">
        <f>IF(AN4&gt;=COUNT(AL4:AL19)/2,1,0)</f>
        <v>0</v>
      </c>
      <c r="AP4" s="5"/>
      <c r="AQ4" s="4">
        <f>$O$4</f>
        <v>0</v>
      </c>
      <c r="AR4" s="13">
        <v>1</v>
      </c>
      <c r="AS4" s="17">
        <f>SUMPRODUCT(AQ4:AQ19,AR4:AR19)</f>
        <v>7.9799999999999986</v>
      </c>
      <c r="AT4" s="17">
        <f>IF(AS4&gt;=COUNT(AQ4:AQ19)/2,1,0)</f>
        <v>0</v>
      </c>
      <c r="AU4" s="12"/>
      <c r="AV4" s="4">
        <f>$O$4</f>
        <v>0</v>
      </c>
      <c r="AW4" s="13">
        <v>1</v>
      </c>
      <c r="AX4" s="17">
        <f>SUMPRODUCT(AV4:AV19,AW4:AW19)</f>
        <v>7.9800000000000013</v>
      </c>
      <c r="AY4" s="17">
        <f>IF(AX4&gt;=COUNT(AV4:AV19)/2,1,0)</f>
        <v>0</v>
      </c>
      <c r="BA4" s="4">
        <f>$O$4</f>
        <v>0</v>
      </c>
      <c r="BB4" s="13">
        <v>1</v>
      </c>
      <c r="BC4" s="17">
        <f>SUMPRODUCT(BA4:BA19,BB4:BB19)</f>
        <v>7.9200000000000008</v>
      </c>
      <c r="BD4" s="17">
        <f>IF(BC4&gt;=COUNT(BA4:BA19)/2,1,0)</f>
        <v>0</v>
      </c>
    </row>
    <row r="5" spans="1:56" x14ac:dyDescent="0.15">
      <c r="A5" s="14"/>
      <c r="B5" s="9"/>
      <c r="C5" s="8"/>
      <c r="D5" s="9" t="s">
        <v>3</v>
      </c>
      <c r="E5" s="8"/>
      <c r="F5" s="9"/>
      <c r="G5" s="8" t="s">
        <v>3</v>
      </c>
      <c r="H5" s="9"/>
      <c r="I5" s="8"/>
      <c r="J5" s="14"/>
      <c r="L5" s="2">
        <f>IF($C$3="●",1,0)</f>
        <v>0</v>
      </c>
      <c r="M5" s="13">
        <v>1</v>
      </c>
      <c r="N5" s="17"/>
      <c r="O5" s="17"/>
      <c r="Q5" s="4">
        <f>IF($E$3="●",1,0)</f>
        <v>1</v>
      </c>
      <c r="R5" s="13">
        <v>1</v>
      </c>
      <c r="S5" s="17"/>
      <c r="T5" s="17"/>
      <c r="V5" s="4">
        <f>IF($G$3="●",1,0)</f>
        <v>0</v>
      </c>
      <c r="W5" s="13">
        <v>1</v>
      </c>
      <c r="X5" s="17"/>
      <c r="Y5" s="17"/>
      <c r="AA5" s="4">
        <f>IF($I$3="●",1,0)</f>
        <v>0</v>
      </c>
      <c r="AB5" s="13">
        <v>1</v>
      </c>
      <c r="AC5" s="17"/>
      <c r="AD5" s="17"/>
      <c r="AG5" s="2">
        <f>$T$4</f>
        <v>1</v>
      </c>
      <c r="AH5" s="13">
        <v>1.3400000000000003</v>
      </c>
      <c r="AI5" s="17"/>
      <c r="AJ5" s="17"/>
      <c r="AL5" s="4">
        <f>$T$4</f>
        <v>1</v>
      </c>
      <c r="AM5" s="13">
        <v>-1.0000000000001641E-2</v>
      </c>
      <c r="AN5" s="17"/>
      <c r="AO5" s="17"/>
      <c r="AP5" s="5"/>
      <c r="AQ5" s="4">
        <f>$T$4</f>
        <v>1</v>
      </c>
      <c r="AR5" s="13">
        <v>1.3400000000000003</v>
      </c>
      <c r="AS5" s="17"/>
      <c r="AT5" s="17"/>
      <c r="AU5" s="12"/>
      <c r="AV5" s="4">
        <f>$T$4</f>
        <v>1</v>
      </c>
      <c r="AW5" s="13">
        <v>1.3100000000000003</v>
      </c>
      <c r="AX5" s="17"/>
      <c r="AY5" s="17"/>
      <c r="BA5" s="4">
        <f>$T$4</f>
        <v>1</v>
      </c>
      <c r="BB5" s="13">
        <v>0.99</v>
      </c>
      <c r="BC5" s="17"/>
      <c r="BD5" s="17"/>
    </row>
    <row r="6" spans="1:56" x14ac:dyDescent="0.15">
      <c r="A6" s="14"/>
      <c r="B6" s="7"/>
      <c r="C6" s="6"/>
      <c r="D6" s="7" t="s">
        <v>3</v>
      </c>
      <c r="E6" s="6"/>
      <c r="F6" s="7"/>
      <c r="G6" s="6" t="s">
        <v>3</v>
      </c>
      <c r="H6" s="7"/>
      <c r="I6" s="6"/>
      <c r="J6" s="14"/>
      <c r="L6" s="2">
        <f>IF($B$4="●",1,0)</f>
        <v>0</v>
      </c>
      <c r="M6" s="13">
        <v>1</v>
      </c>
      <c r="N6" s="17"/>
      <c r="O6" s="17"/>
      <c r="Q6" s="4">
        <f>IF($D$4="●",1,0)</f>
        <v>1</v>
      </c>
      <c r="R6" s="13">
        <v>1</v>
      </c>
      <c r="S6" s="17"/>
      <c r="T6" s="17"/>
      <c r="V6" s="4">
        <f>IF($F$4="●",1,0)</f>
        <v>0</v>
      </c>
      <c r="W6" s="13">
        <v>1</v>
      </c>
      <c r="X6" s="17"/>
      <c r="Y6" s="17"/>
      <c r="AA6" s="4">
        <f>IF($H$4="●",1,0)</f>
        <v>0</v>
      </c>
      <c r="AB6" s="13">
        <v>1</v>
      </c>
      <c r="AC6" s="17"/>
      <c r="AD6" s="17"/>
      <c r="AG6" s="2">
        <f>$Y$4</f>
        <v>1</v>
      </c>
      <c r="AH6" s="13">
        <v>1</v>
      </c>
      <c r="AI6" s="17"/>
      <c r="AJ6" s="17"/>
      <c r="AL6" s="4">
        <f>$Y$4</f>
        <v>1</v>
      </c>
      <c r="AM6" s="13">
        <v>2</v>
      </c>
      <c r="AN6" s="17"/>
      <c r="AO6" s="17"/>
      <c r="AP6" s="5"/>
      <c r="AQ6" s="4">
        <f>$Y$4</f>
        <v>1</v>
      </c>
      <c r="AR6" s="13">
        <v>1.3400000000000003</v>
      </c>
      <c r="AS6" s="17"/>
      <c r="AT6" s="17"/>
      <c r="AU6" s="12"/>
      <c r="AV6" s="4">
        <f>$Y$4</f>
        <v>1</v>
      </c>
      <c r="AW6" s="13">
        <v>1.3100000000000003</v>
      </c>
      <c r="AX6" s="17"/>
      <c r="AY6" s="17"/>
      <c r="BA6" s="4">
        <f>$Y$4</f>
        <v>1</v>
      </c>
      <c r="BB6" s="13">
        <v>0.99</v>
      </c>
      <c r="BC6" s="17"/>
      <c r="BD6" s="17"/>
    </row>
    <row r="7" spans="1:56" x14ac:dyDescent="0.15">
      <c r="A7" s="14"/>
      <c r="B7" s="9"/>
      <c r="C7" s="8"/>
      <c r="D7" s="9" t="s">
        <v>3</v>
      </c>
      <c r="E7" s="8"/>
      <c r="F7" s="9"/>
      <c r="G7" s="8" t="s">
        <v>3</v>
      </c>
      <c r="H7" s="9"/>
      <c r="I7" s="8"/>
      <c r="J7" s="14"/>
      <c r="L7" s="2">
        <f>IF($C$4="●",1,0)</f>
        <v>0</v>
      </c>
      <c r="M7" s="13">
        <v>1</v>
      </c>
      <c r="N7" s="17"/>
      <c r="O7" s="17"/>
      <c r="Q7" s="4">
        <f>IF($E$4="●",1,0)</f>
        <v>0</v>
      </c>
      <c r="R7" s="13">
        <v>1</v>
      </c>
      <c r="S7" s="17"/>
      <c r="T7" s="17"/>
      <c r="V7" s="4">
        <f>IF($G$4="●",1,0)</f>
        <v>1</v>
      </c>
      <c r="W7" s="13">
        <v>1</v>
      </c>
      <c r="X7" s="17"/>
      <c r="Y7" s="17"/>
      <c r="AA7" s="4">
        <f>IF($I$4="●",1,0)</f>
        <v>0</v>
      </c>
      <c r="AB7" s="13">
        <v>1</v>
      </c>
      <c r="AC7" s="17"/>
      <c r="AD7" s="17"/>
      <c r="AG7" s="2">
        <f>$AD$4</f>
        <v>0</v>
      </c>
      <c r="AH7" s="13">
        <v>1</v>
      </c>
      <c r="AI7" s="17"/>
      <c r="AJ7" s="17"/>
      <c r="AL7" s="4">
        <f>$AD$4</f>
        <v>0</v>
      </c>
      <c r="AM7" s="13">
        <v>1</v>
      </c>
      <c r="AN7" s="17"/>
      <c r="AO7" s="17"/>
      <c r="AP7" s="5"/>
      <c r="AQ7" s="4">
        <f>$AD$4</f>
        <v>0</v>
      </c>
      <c r="AR7" s="13">
        <v>1</v>
      </c>
      <c r="AS7" s="17"/>
      <c r="AT7" s="17"/>
      <c r="AU7" s="12"/>
      <c r="AV7" s="4">
        <f>$AD$4</f>
        <v>0</v>
      </c>
      <c r="AW7" s="13">
        <v>1</v>
      </c>
      <c r="AX7" s="17"/>
      <c r="AY7" s="17"/>
      <c r="BA7" s="4">
        <f>$AD$4</f>
        <v>0</v>
      </c>
      <c r="BB7" s="13">
        <v>1</v>
      </c>
      <c r="BC7" s="17"/>
      <c r="BD7" s="17"/>
    </row>
    <row r="8" spans="1:56" x14ac:dyDescent="0.15">
      <c r="A8" s="14"/>
      <c r="B8" s="7"/>
      <c r="C8" s="6"/>
      <c r="D8" s="7" t="s">
        <v>3</v>
      </c>
      <c r="E8" s="6"/>
      <c r="F8" s="7"/>
      <c r="G8" s="6" t="s">
        <v>3</v>
      </c>
      <c r="H8" s="7"/>
      <c r="I8" s="6"/>
      <c r="J8" s="14"/>
      <c r="L8" s="5"/>
      <c r="M8" s="5"/>
      <c r="N8" s="5"/>
      <c r="O8" s="5"/>
      <c r="AG8" s="2">
        <f>$O$10</f>
        <v>0</v>
      </c>
      <c r="AH8" s="13">
        <v>1.3400000000000003</v>
      </c>
      <c r="AI8" s="17"/>
      <c r="AJ8" s="17"/>
      <c r="AL8" s="4">
        <f>$O$10</f>
        <v>0</v>
      </c>
      <c r="AM8" s="13">
        <v>1</v>
      </c>
      <c r="AN8" s="17"/>
      <c r="AO8" s="17"/>
      <c r="AP8" s="5"/>
      <c r="AQ8" s="4">
        <f>$O$10</f>
        <v>0</v>
      </c>
      <c r="AR8" s="13">
        <v>1</v>
      </c>
      <c r="AS8" s="17"/>
      <c r="AT8" s="17"/>
      <c r="AU8" s="12"/>
      <c r="AV8" s="4">
        <f>$O$10</f>
        <v>0</v>
      </c>
      <c r="AW8" s="13">
        <v>1</v>
      </c>
      <c r="AX8" s="17"/>
      <c r="AY8" s="17"/>
      <c r="BA8" s="4">
        <f>$O$10</f>
        <v>0</v>
      </c>
      <c r="BB8" s="13">
        <v>1</v>
      </c>
      <c r="BC8" s="17"/>
      <c r="BD8" s="17"/>
    </row>
    <row r="9" spans="1:56" x14ac:dyDescent="0.15">
      <c r="A9" s="14"/>
      <c r="B9" s="9"/>
      <c r="C9" s="8"/>
      <c r="D9" s="9" t="s">
        <v>3</v>
      </c>
      <c r="E9" s="8"/>
      <c r="F9" s="9"/>
      <c r="G9" s="8" t="s">
        <v>3</v>
      </c>
      <c r="H9" s="9"/>
      <c r="I9" s="8"/>
      <c r="J9" s="14"/>
      <c r="L9" s="1" t="s">
        <v>0</v>
      </c>
      <c r="M9" s="1" t="s">
        <v>1</v>
      </c>
      <c r="N9" s="16" t="s">
        <v>2</v>
      </c>
      <c r="O9" s="16"/>
      <c r="Q9" s="1" t="s">
        <v>0</v>
      </c>
      <c r="R9" s="1" t="s">
        <v>1</v>
      </c>
      <c r="S9" s="16" t="s">
        <v>2</v>
      </c>
      <c r="T9" s="16"/>
      <c r="V9" s="1" t="s">
        <v>0</v>
      </c>
      <c r="W9" s="1" t="s">
        <v>1</v>
      </c>
      <c r="X9" s="16" t="s">
        <v>2</v>
      </c>
      <c r="Y9" s="16"/>
      <c r="AA9" s="1" t="s">
        <v>0</v>
      </c>
      <c r="AB9" s="1" t="s">
        <v>1</v>
      </c>
      <c r="AC9" s="16" t="s">
        <v>2</v>
      </c>
      <c r="AD9" s="16"/>
      <c r="AG9" s="2">
        <f>$T$10</f>
        <v>1</v>
      </c>
      <c r="AH9" s="13">
        <v>1</v>
      </c>
      <c r="AI9" s="17"/>
      <c r="AJ9" s="17"/>
      <c r="AL9" s="4">
        <f>$T$10</f>
        <v>1</v>
      </c>
      <c r="AM9" s="13">
        <v>-1.6410484082740595E-15</v>
      </c>
      <c r="AN9" s="17"/>
      <c r="AO9" s="17"/>
      <c r="AP9" s="5"/>
      <c r="AQ9" s="4">
        <f>$T$10</f>
        <v>1</v>
      </c>
      <c r="AR9" s="13">
        <v>-3.0000000000000755E-2</v>
      </c>
      <c r="AS9" s="17"/>
      <c r="AT9" s="17"/>
      <c r="AU9" s="12"/>
      <c r="AV9" s="4">
        <f>$T$10</f>
        <v>1</v>
      </c>
      <c r="AW9" s="13">
        <v>5.9999999999999255E-2</v>
      </c>
      <c r="AX9" s="17"/>
      <c r="AY9" s="17"/>
      <c r="BA9" s="4">
        <f>$T$10</f>
        <v>1</v>
      </c>
      <c r="BB9" s="13">
        <v>0.99</v>
      </c>
      <c r="BC9" s="17"/>
      <c r="BD9" s="17"/>
    </row>
    <row r="10" spans="1:56" x14ac:dyDescent="0.15">
      <c r="A10" s="14"/>
      <c r="B10" s="7"/>
      <c r="C10" s="6"/>
      <c r="D10" s="7"/>
      <c r="E10" s="6" t="s">
        <v>3</v>
      </c>
      <c r="F10" s="7" t="s">
        <v>3</v>
      </c>
      <c r="G10" s="6"/>
      <c r="H10" s="7"/>
      <c r="I10" s="6"/>
      <c r="J10" s="14"/>
      <c r="L10" s="4">
        <f>IF($B$5="●",1,0)</f>
        <v>0</v>
      </c>
      <c r="M10" s="13">
        <v>1</v>
      </c>
      <c r="N10" s="17">
        <f>SUMPRODUCT(L10:L13,M10:M13)</f>
        <v>0</v>
      </c>
      <c r="O10" s="17">
        <f>IF(N10&gt;=2,1,0)</f>
        <v>0</v>
      </c>
      <c r="Q10" s="4">
        <f>IF($D$5="●",1,0)</f>
        <v>1</v>
      </c>
      <c r="R10" s="13">
        <v>1</v>
      </c>
      <c r="S10" s="17">
        <f>SUMPRODUCT(Q10:Q13,R10:R13)</f>
        <v>2</v>
      </c>
      <c r="T10" s="17">
        <f>IF(S10&gt;=2,1,0)</f>
        <v>1</v>
      </c>
      <c r="V10" s="4">
        <f>IF($F$5="●",1,0)</f>
        <v>0</v>
      </c>
      <c r="W10" s="13">
        <v>1</v>
      </c>
      <c r="X10" s="17">
        <f>SUMPRODUCT(V10:V13,W10:W13)</f>
        <v>2</v>
      </c>
      <c r="Y10" s="17">
        <f>IF(X10&gt;=2,1,0)</f>
        <v>1</v>
      </c>
      <c r="AA10" s="4">
        <f>IF($H$5="●",1,0)</f>
        <v>0</v>
      </c>
      <c r="AB10" s="13">
        <v>1</v>
      </c>
      <c r="AC10" s="17">
        <f>SUMPRODUCT(AA10:AA13,AB10:AB13)</f>
        <v>0</v>
      </c>
      <c r="AD10" s="17">
        <f>IF(AC10&gt;=2,1,0)</f>
        <v>0</v>
      </c>
      <c r="AG10" s="2">
        <f>$Y$10</f>
        <v>1</v>
      </c>
      <c r="AH10" s="13">
        <v>1.3400000000000003</v>
      </c>
      <c r="AI10" s="17"/>
      <c r="AJ10" s="17"/>
      <c r="AL10" s="4">
        <f>$Y$10</f>
        <v>1</v>
      </c>
      <c r="AM10" s="13">
        <v>2</v>
      </c>
      <c r="AN10" s="17"/>
      <c r="AO10" s="17"/>
      <c r="AP10" s="5"/>
      <c r="AQ10" s="4">
        <f>$Y$10</f>
        <v>1</v>
      </c>
      <c r="AR10" s="13">
        <v>1.3400000000000003</v>
      </c>
      <c r="AS10" s="17"/>
      <c r="AT10" s="17"/>
      <c r="AU10" s="12"/>
      <c r="AV10" s="4">
        <f>$Y$10</f>
        <v>1</v>
      </c>
      <c r="AW10" s="13">
        <v>1.3100000000000003</v>
      </c>
      <c r="AX10" s="17"/>
      <c r="AY10" s="17"/>
      <c r="BA10" s="4">
        <f>$Y$10</f>
        <v>1</v>
      </c>
      <c r="BB10" s="13">
        <v>0.99</v>
      </c>
      <c r="BC10" s="17"/>
      <c r="BD10" s="17"/>
    </row>
    <row r="11" spans="1:56" x14ac:dyDescent="0.15">
      <c r="A11" s="14"/>
      <c r="B11" s="14"/>
      <c r="C11" s="14"/>
      <c r="D11" s="14"/>
      <c r="E11" s="14"/>
      <c r="F11" s="14"/>
      <c r="G11" s="14"/>
      <c r="H11" s="14"/>
      <c r="I11" s="14"/>
      <c r="J11" s="14"/>
      <c r="L11" s="4">
        <f>IF($C$5="●",1,0)</f>
        <v>0</v>
      </c>
      <c r="M11" s="13">
        <v>1</v>
      </c>
      <c r="N11" s="17"/>
      <c r="O11" s="17"/>
      <c r="Q11" s="4">
        <f>IF($E$5="●",1,0)</f>
        <v>0</v>
      </c>
      <c r="R11" s="13">
        <v>1</v>
      </c>
      <c r="S11" s="17"/>
      <c r="T11" s="17"/>
      <c r="V11" s="4">
        <f>IF($G$5="●",1,0)</f>
        <v>1</v>
      </c>
      <c r="W11" s="13">
        <v>1</v>
      </c>
      <c r="X11" s="17"/>
      <c r="Y11" s="17"/>
      <c r="AA11" s="4">
        <f>IF($I$5="●",1,0)</f>
        <v>0</v>
      </c>
      <c r="AB11" s="13">
        <v>1</v>
      </c>
      <c r="AC11" s="17"/>
      <c r="AD11" s="17"/>
      <c r="AG11" s="2">
        <f>$AD$10</f>
        <v>0</v>
      </c>
      <c r="AH11" s="13">
        <v>1</v>
      </c>
      <c r="AI11" s="17"/>
      <c r="AJ11" s="17"/>
      <c r="AL11" s="4">
        <f>$AD$10</f>
        <v>0</v>
      </c>
      <c r="AM11" s="13">
        <v>1</v>
      </c>
      <c r="AN11" s="17"/>
      <c r="AO11" s="17"/>
      <c r="AP11" s="5"/>
      <c r="AQ11" s="4">
        <f>$AD$10</f>
        <v>0</v>
      </c>
      <c r="AR11" s="13">
        <v>1</v>
      </c>
      <c r="AS11" s="17"/>
      <c r="AT11" s="17"/>
      <c r="AU11" s="12"/>
      <c r="AV11" s="4">
        <f>$AD$10</f>
        <v>0</v>
      </c>
      <c r="AW11" s="13">
        <v>1</v>
      </c>
      <c r="AX11" s="17"/>
      <c r="AY11" s="17"/>
      <c r="BA11" s="4">
        <f>$AD$10</f>
        <v>0</v>
      </c>
      <c r="BB11" s="13">
        <v>1</v>
      </c>
      <c r="BC11" s="17"/>
      <c r="BD11" s="17"/>
    </row>
    <row r="12" spans="1:56" x14ac:dyDescent="0.15">
      <c r="L12" s="4">
        <f>IF($B$6="●",1,0)</f>
        <v>0</v>
      </c>
      <c r="M12" s="13">
        <v>1</v>
      </c>
      <c r="N12" s="17"/>
      <c r="O12" s="17"/>
      <c r="Q12" s="4">
        <f>IF($D$6="●",1,0)</f>
        <v>1</v>
      </c>
      <c r="R12" s="13">
        <v>1</v>
      </c>
      <c r="S12" s="17"/>
      <c r="T12" s="17"/>
      <c r="V12" s="4">
        <f>IF($F$6="●",1,0)</f>
        <v>0</v>
      </c>
      <c r="W12" s="13">
        <v>1</v>
      </c>
      <c r="X12" s="17"/>
      <c r="Y12" s="17"/>
      <c r="AA12" s="4">
        <f>IF($H$6="●",1,0)</f>
        <v>0</v>
      </c>
      <c r="AB12" s="13">
        <v>1</v>
      </c>
      <c r="AC12" s="17"/>
      <c r="AD12" s="17"/>
      <c r="AG12" s="4">
        <f>$O$16</f>
        <v>0</v>
      </c>
      <c r="AH12" s="13">
        <v>1.3400000000000003</v>
      </c>
      <c r="AI12" s="17"/>
      <c r="AJ12" s="17"/>
      <c r="AL12" s="4">
        <f>$O$16</f>
        <v>0</v>
      </c>
      <c r="AM12" s="13">
        <v>1</v>
      </c>
      <c r="AN12" s="17"/>
      <c r="AO12" s="17"/>
      <c r="AP12" s="12"/>
      <c r="AQ12" s="4">
        <f>$O$16</f>
        <v>0</v>
      </c>
      <c r="AR12" s="13">
        <v>1</v>
      </c>
      <c r="AS12" s="17"/>
      <c r="AT12" s="17"/>
      <c r="AU12" s="12"/>
      <c r="AV12" s="4">
        <f>$O$16</f>
        <v>0</v>
      </c>
      <c r="AW12" s="13">
        <v>1</v>
      </c>
      <c r="AX12" s="17"/>
      <c r="AY12" s="17"/>
      <c r="BA12" s="4">
        <f>$O$16</f>
        <v>0</v>
      </c>
      <c r="BB12" s="13">
        <v>1</v>
      </c>
      <c r="BC12" s="17"/>
      <c r="BD12" s="17"/>
    </row>
    <row r="13" spans="1:56" x14ac:dyDescent="0.15">
      <c r="B13" s="9"/>
      <c r="C13" s="8"/>
      <c r="D13" s="9"/>
      <c r="E13" s="8" t="s">
        <v>3</v>
      </c>
      <c r="F13" s="9" t="s">
        <v>3</v>
      </c>
      <c r="G13" s="8"/>
      <c r="H13" s="9"/>
      <c r="I13" s="8"/>
      <c r="L13" s="4">
        <f>IF($C$6="●",1,0)</f>
        <v>0</v>
      </c>
      <c r="M13" s="13">
        <v>1</v>
      </c>
      <c r="N13" s="17"/>
      <c r="O13" s="17"/>
      <c r="Q13" s="4">
        <f>IF($E$6="●",1,0)</f>
        <v>0</v>
      </c>
      <c r="R13" s="13">
        <v>1</v>
      </c>
      <c r="S13" s="17"/>
      <c r="T13" s="17"/>
      <c r="V13" s="4">
        <f>IF($G$6="●",1,0)</f>
        <v>1</v>
      </c>
      <c r="W13" s="13">
        <v>1</v>
      </c>
      <c r="X13" s="17"/>
      <c r="Y13" s="17"/>
      <c r="AA13" s="4">
        <f>IF($I$6="●",1,0)</f>
        <v>0</v>
      </c>
      <c r="AB13" s="13">
        <v>1</v>
      </c>
      <c r="AC13" s="17"/>
      <c r="AD13" s="17"/>
      <c r="AG13" s="4">
        <f>$T$16</f>
        <v>1</v>
      </c>
      <c r="AH13" s="13">
        <v>1</v>
      </c>
      <c r="AI13" s="17"/>
      <c r="AJ13" s="17"/>
      <c r="AK13" s="12"/>
      <c r="AL13" s="4">
        <f>$T$16</f>
        <v>1</v>
      </c>
      <c r="AM13" s="13">
        <v>-1.6410484082740595E-15</v>
      </c>
      <c r="AN13" s="17"/>
      <c r="AO13" s="17"/>
      <c r="AP13" s="11"/>
      <c r="AQ13" s="4">
        <f>$T$16</f>
        <v>1</v>
      </c>
      <c r="AR13" s="13">
        <v>1.3400000000000003</v>
      </c>
      <c r="AS13" s="17"/>
      <c r="AT13" s="17"/>
      <c r="AU13" s="12"/>
      <c r="AV13" s="4">
        <f>$T$16</f>
        <v>1</v>
      </c>
      <c r="AW13" s="13">
        <v>5.9999999999999255E-2</v>
      </c>
      <c r="AX13" s="17"/>
      <c r="AY13" s="17"/>
      <c r="BA13" s="4">
        <f>$T$16</f>
        <v>1</v>
      </c>
      <c r="BB13" s="13">
        <v>0.99</v>
      </c>
      <c r="BC13" s="17"/>
      <c r="BD13" s="17"/>
    </row>
    <row r="14" spans="1:56" x14ac:dyDescent="0.15">
      <c r="B14" s="7"/>
      <c r="C14" s="6"/>
      <c r="D14" s="7" t="s">
        <v>3</v>
      </c>
      <c r="E14" s="6"/>
      <c r="F14" s="7"/>
      <c r="G14" s="6" t="s">
        <v>3</v>
      </c>
      <c r="H14" s="7"/>
      <c r="I14" s="6"/>
      <c r="L14" s="5"/>
      <c r="M14" s="5"/>
      <c r="N14" s="5"/>
      <c r="O14" s="5"/>
      <c r="AG14" s="4">
        <f>$Y$16</f>
        <v>1</v>
      </c>
      <c r="AH14" s="13">
        <v>1.3400000000000003</v>
      </c>
      <c r="AI14" s="17"/>
      <c r="AJ14" s="17"/>
      <c r="AK14" s="12"/>
      <c r="AL14" s="4">
        <f>$Y$16</f>
        <v>1</v>
      </c>
      <c r="AM14" s="13">
        <v>2</v>
      </c>
      <c r="AN14" s="17"/>
      <c r="AO14" s="17"/>
      <c r="AP14" s="5"/>
      <c r="AQ14" s="4">
        <f>$Y$16</f>
        <v>1</v>
      </c>
      <c r="AR14" s="13">
        <v>-3.0000000000000755E-2</v>
      </c>
      <c r="AS14" s="17"/>
      <c r="AT14" s="17"/>
      <c r="AU14" s="12"/>
      <c r="AV14" s="4">
        <f>$Y$16</f>
        <v>1</v>
      </c>
      <c r="AW14" s="13">
        <v>1.3100000000000003</v>
      </c>
      <c r="AX14" s="17"/>
      <c r="AY14" s="17"/>
      <c r="BA14" s="4">
        <f>$Y$16</f>
        <v>1</v>
      </c>
      <c r="BB14" s="13">
        <v>0.99</v>
      </c>
      <c r="BC14" s="17"/>
      <c r="BD14" s="17"/>
    </row>
    <row r="15" spans="1:56" x14ac:dyDescent="0.15">
      <c r="B15" s="9"/>
      <c r="C15" s="8"/>
      <c r="D15" s="9" t="s">
        <v>3</v>
      </c>
      <c r="E15" s="8"/>
      <c r="F15" s="9"/>
      <c r="G15" s="8" t="s">
        <v>3</v>
      </c>
      <c r="H15" s="9"/>
      <c r="I15" s="8"/>
      <c r="L15" s="1" t="s">
        <v>0</v>
      </c>
      <c r="M15" s="1" t="s">
        <v>1</v>
      </c>
      <c r="N15" s="16" t="s">
        <v>2</v>
      </c>
      <c r="O15" s="16"/>
      <c r="Q15" s="1" t="s">
        <v>0</v>
      </c>
      <c r="R15" s="1" t="s">
        <v>1</v>
      </c>
      <c r="S15" s="16" t="s">
        <v>2</v>
      </c>
      <c r="T15" s="16"/>
      <c r="V15" s="1" t="s">
        <v>0</v>
      </c>
      <c r="W15" s="1" t="s">
        <v>1</v>
      </c>
      <c r="X15" s="16" t="s">
        <v>2</v>
      </c>
      <c r="Y15" s="16"/>
      <c r="AA15" s="1" t="s">
        <v>0</v>
      </c>
      <c r="AB15" s="1" t="s">
        <v>1</v>
      </c>
      <c r="AC15" s="16" t="s">
        <v>2</v>
      </c>
      <c r="AD15" s="16"/>
      <c r="AG15" s="4">
        <f>$AD$16</f>
        <v>0</v>
      </c>
      <c r="AH15" s="13">
        <v>1</v>
      </c>
      <c r="AI15" s="17"/>
      <c r="AJ15" s="17"/>
      <c r="AK15" s="12"/>
      <c r="AL15" s="4">
        <f>$AD$16</f>
        <v>0</v>
      </c>
      <c r="AM15" s="13">
        <v>1</v>
      </c>
      <c r="AN15" s="17"/>
      <c r="AO15" s="17"/>
      <c r="AP15" s="5"/>
      <c r="AQ15" s="4">
        <f>$AD$16</f>
        <v>0</v>
      </c>
      <c r="AR15" s="13">
        <v>1</v>
      </c>
      <c r="AS15" s="17"/>
      <c r="AT15" s="17"/>
      <c r="AU15" s="12"/>
      <c r="AV15" s="4">
        <f>$AD$16</f>
        <v>0</v>
      </c>
      <c r="AW15" s="13">
        <v>1</v>
      </c>
      <c r="AX15" s="17"/>
      <c r="AY15" s="17"/>
      <c r="BA15" s="4">
        <f>$AD$16</f>
        <v>0</v>
      </c>
      <c r="BB15" s="13">
        <v>1</v>
      </c>
      <c r="BC15" s="17"/>
      <c r="BD15" s="17"/>
    </row>
    <row r="16" spans="1:56" x14ac:dyDescent="0.15">
      <c r="B16" s="7"/>
      <c r="C16" s="6"/>
      <c r="D16" s="7" t="s">
        <v>3</v>
      </c>
      <c r="E16" s="6"/>
      <c r="F16" s="7"/>
      <c r="G16" s="6" t="s">
        <v>3</v>
      </c>
      <c r="H16" s="7"/>
      <c r="I16" s="6"/>
      <c r="L16" s="4">
        <f>IF($B$7="●",1,0)</f>
        <v>0</v>
      </c>
      <c r="M16" s="13">
        <v>1</v>
      </c>
      <c r="N16" s="17">
        <f>SUMPRODUCT(L16:L19,M16:M19)</f>
        <v>0</v>
      </c>
      <c r="O16" s="17">
        <f>IF(N16&gt;=2,1,0)</f>
        <v>0</v>
      </c>
      <c r="Q16" s="4">
        <f>IF($D$7="●",1,0)</f>
        <v>1</v>
      </c>
      <c r="R16" s="13">
        <v>1</v>
      </c>
      <c r="S16" s="17">
        <f>SUMPRODUCT(Q16:Q19,R16:R19)</f>
        <v>2</v>
      </c>
      <c r="T16" s="17">
        <f>IF(S16&gt;=2,1,0)</f>
        <v>1</v>
      </c>
      <c r="V16" s="4">
        <f>IF($F$7="●",1,0)</f>
        <v>0</v>
      </c>
      <c r="W16" s="13">
        <v>1</v>
      </c>
      <c r="X16" s="17">
        <f>SUMPRODUCT(V16:V19,W16:W19)</f>
        <v>2</v>
      </c>
      <c r="Y16" s="17">
        <f>IF(X16&gt;=2,1,0)</f>
        <v>1</v>
      </c>
      <c r="AA16" s="4">
        <f>IF($H$7="●",1,0)</f>
        <v>0</v>
      </c>
      <c r="AB16" s="13">
        <v>1</v>
      </c>
      <c r="AC16" s="17">
        <f>SUMPRODUCT(AA16:AA19,AB16:AB19)</f>
        <v>0</v>
      </c>
      <c r="AD16" s="17">
        <f>IF(AC16&gt;=2,1,0)</f>
        <v>0</v>
      </c>
      <c r="AG16" s="4">
        <f>$O$22</f>
        <v>0</v>
      </c>
      <c r="AH16" s="13">
        <v>1</v>
      </c>
      <c r="AI16" s="17"/>
      <c r="AJ16" s="17"/>
      <c r="AK16" s="12"/>
      <c r="AL16" s="4">
        <f>$O$22</f>
        <v>0</v>
      </c>
      <c r="AM16" s="13">
        <v>1</v>
      </c>
      <c r="AN16" s="17"/>
      <c r="AO16" s="17"/>
      <c r="AP16" s="5"/>
      <c r="AQ16" s="4">
        <f>$O$22</f>
        <v>0</v>
      </c>
      <c r="AR16" s="13">
        <v>1</v>
      </c>
      <c r="AS16" s="17"/>
      <c r="AT16" s="17"/>
      <c r="AU16" s="12"/>
      <c r="AV16" s="4">
        <f>$O$22</f>
        <v>0</v>
      </c>
      <c r="AW16" s="13">
        <v>1</v>
      </c>
      <c r="AX16" s="17"/>
      <c r="AY16" s="17"/>
      <c r="BA16" s="4">
        <f>$O$22</f>
        <v>0</v>
      </c>
      <c r="BB16" s="13">
        <v>1</v>
      </c>
      <c r="BC16" s="17"/>
      <c r="BD16" s="17"/>
    </row>
    <row r="17" spans="2:56" x14ac:dyDescent="0.15">
      <c r="B17" s="9"/>
      <c r="C17" s="8"/>
      <c r="D17" s="9" t="s">
        <v>3</v>
      </c>
      <c r="E17" s="8"/>
      <c r="F17" s="9"/>
      <c r="G17" s="8" t="s">
        <v>3</v>
      </c>
      <c r="H17" s="9"/>
      <c r="I17" s="8"/>
      <c r="L17" s="4">
        <f>IF($C$7="●",1,0)</f>
        <v>0</v>
      </c>
      <c r="M17" s="13">
        <v>1</v>
      </c>
      <c r="N17" s="17"/>
      <c r="O17" s="17"/>
      <c r="Q17" s="4">
        <f>IF($E$7="●",1,0)</f>
        <v>0</v>
      </c>
      <c r="R17" s="13">
        <v>1</v>
      </c>
      <c r="S17" s="17"/>
      <c r="T17" s="17"/>
      <c r="V17" s="4">
        <f>IF($G$7="●",1,0)</f>
        <v>1</v>
      </c>
      <c r="W17" s="13">
        <v>1</v>
      </c>
      <c r="X17" s="17"/>
      <c r="Y17" s="17"/>
      <c r="AA17" s="4">
        <f>IF($I$7="●",1,0)</f>
        <v>0</v>
      </c>
      <c r="AB17" s="13">
        <v>1</v>
      </c>
      <c r="AC17" s="17"/>
      <c r="AD17" s="17"/>
      <c r="AG17" s="4">
        <f>$T$22</f>
        <v>1</v>
      </c>
      <c r="AH17" s="13">
        <v>1.3400000000000003</v>
      </c>
      <c r="AI17" s="17"/>
      <c r="AJ17" s="17"/>
      <c r="AK17" s="12"/>
      <c r="AL17" s="4">
        <f>$T$22</f>
        <v>1</v>
      </c>
      <c r="AM17" s="13">
        <v>-1.0000000000001641E-2</v>
      </c>
      <c r="AN17" s="17"/>
      <c r="AO17" s="17"/>
      <c r="AP17" s="5"/>
      <c r="AQ17" s="4">
        <f>$T$22</f>
        <v>1</v>
      </c>
      <c r="AR17" s="13">
        <v>1.3400000000000003</v>
      </c>
      <c r="AS17" s="17"/>
      <c r="AT17" s="17"/>
      <c r="AU17" s="12"/>
      <c r="AV17" s="4">
        <f>$T$22</f>
        <v>1</v>
      </c>
      <c r="AW17" s="13">
        <v>1.3100000000000003</v>
      </c>
      <c r="AX17" s="17"/>
      <c r="AY17" s="17"/>
      <c r="BA17" s="4">
        <f>$T$22</f>
        <v>1</v>
      </c>
      <c r="BB17" s="13">
        <v>0.99</v>
      </c>
      <c r="BC17" s="17"/>
      <c r="BD17" s="17"/>
    </row>
    <row r="18" spans="2:56" x14ac:dyDescent="0.15">
      <c r="B18" s="7"/>
      <c r="C18" s="6"/>
      <c r="D18" s="7" t="s">
        <v>3</v>
      </c>
      <c r="E18" s="6"/>
      <c r="F18" s="7"/>
      <c r="G18" s="6" t="s">
        <v>3</v>
      </c>
      <c r="H18" s="7"/>
      <c r="I18" s="6"/>
      <c r="L18" s="4">
        <f>IF($B$8="●",1,0)</f>
        <v>0</v>
      </c>
      <c r="M18" s="13">
        <v>1</v>
      </c>
      <c r="N18" s="17"/>
      <c r="O18" s="17"/>
      <c r="Q18" s="4">
        <f>IF($D$8="●",1,0)</f>
        <v>1</v>
      </c>
      <c r="R18" s="13">
        <v>1</v>
      </c>
      <c r="S18" s="17"/>
      <c r="T18" s="17"/>
      <c r="V18" s="4">
        <f>IF($F$8="●",1,0)</f>
        <v>0</v>
      </c>
      <c r="W18" s="13">
        <v>1</v>
      </c>
      <c r="X18" s="17"/>
      <c r="Y18" s="17"/>
      <c r="AA18" s="4">
        <f>IF($H$8="●",1,0)</f>
        <v>0</v>
      </c>
      <c r="AB18" s="13">
        <v>1</v>
      </c>
      <c r="AC18" s="17"/>
      <c r="AD18" s="17"/>
      <c r="AG18" s="4">
        <f>$Y$22</f>
        <v>1</v>
      </c>
      <c r="AH18" s="13">
        <v>1</v>
      </c>
      <c r="AI18" s="17"/>
      <c r="AJ18" s="17"/>
      <c r="AK18" s="12"/>
      <c r="AL18" s="4">
        <f>$Y$22</f>
        <v>1</v>
      </c>
      <c r="AM18" s="13">
        <v>2</v>
      </c>
      <c r="AN18" s="17"/>
      <c r="AO18" s="17"/>
      <c r="AP18" s="5"/>
      <c r="AQ18" s="4">
        <f>$Y$22</f>
        <v>1</v>
      </c>
      <c r="AR18" s="13">
        <v>1.3400000000000003</v>
      </c>
      <c r="AS18" s="17"/>
      <c r="AT18" s="17"/>
      <c r="AU18" s="12"/>
      <c r="AV18" s="4">
        <f>$Y$22</f>
        <v>1</v>
      </c>
      <c r="AW18" s="13">
        <v>1.3100000000000003</v>
      </c>
      <c r="AX18" s="17"/>
      <c r="AY18" s="17"/>
      <c r="BA18" s="4">
        <f>$Y$22</f>
        <v>1</v>
      </c>
      <c r="BB18" s="13">
        <v>0.99</v>
      </c>
      <c r="BC18" s="17"/>
      <c r="BD18" s="17"/>
    </row>
    <row r="19" spans="2:56" x14ac:dyDescent="0.15">
      <c r="B19" s="9"/>
      <c r="C19" s="8"/>
      <c r="D19" s="9" t="s">
        <v>3</v>
      </c>
      <c r="E19" s="8"/>
      <c r="F19" s="9"/>
      <c r="G19" s="8" t="s">
        <v>3</v>
      </c>
      <c r="H19" s="9"/>
      <c r="I19" s="8"/>
      <c r="L19" s="4">
        <f>IF($C$8="●",1,0)</f>
        <v>0</v>
      </c>
      <c r="M19" s="13">
        <v>1</v>
      </c>
      <c r="N19" s="17"/>
      <c r="O19" s="17"/>
      <c r="Q19" s="4">
        <f>IF($E$8="●",1,0)</f>
        <v>0</v>
      </c>
      <c r="R19" s="13">
        <v>1</v>
      </c>
      <c r="S19" s="17"/>
      <c r="T19" s="17"/>
      <c r="V19" s="4">
        <f>IF($G$8="●",1,0)</f>
        <v>1</v>
      </c>
      <c r="W19" s="13">
        <v>1</v>
      </c>
      <c r="X19" s="17"/>
      <c r="Y19" s="17"/>
      <c r="AA19" s="4">
        <f>IF($I$8="●",1,0)</f>
        <v>0</v>
      </c>
      <c r="AB19" s="13">
        <v>1</v>
      </c>
      <c r="AC19" s="17"/>
      <c r="AD19" s="17"/>
      <c r="AG19" s="4">
        <f>$AD$22</f>
        <v>0</v>
      </c>
      <c r="AH19" s="13">
        <v>1</v>
      </c>
      <c r="AI19" s="17"/>
      <c r="AJ19" s="17"/>
      <c r="AK19" s="12"/>
      <c r="AL19" s="4">
        <f>$AD$22</f>
        <v>0</v>
      </c>
      <c r="AM19" s="13">
        <v>1</v>
      </c>
      <c r="AN19" s="17"/>
      <c r="AO19" s="17"/>
      <c r="AP19" s="5"/>
      <c r="AQ19" s="4">
        <f>$AD$22</f>
        <v>0</v>
      </c>
      <c r="AR19" s="13">
        <v>1</v>
      </c>
      <c r="AS19" s="17"/>
      <c r="AT19" s="17"/>
      <c r="AU19" s="12"/>
      <c r="AV19" s="4">
        <f>$AD$22</f>
        <v>0</v>
      </c>
      <c r="AW19" s="13">
        <v>1</v>
      </c>
      <c r="AX19" s="17"/>
      <c r="AY19" s="17"/>
      <c r="BA19" s="4">
        <f>$AD$22</f>
        <v>0</v>
      </c>
      <c r="BB19" s="13">
        <v>1</v>
      </c>
      <c r="BC19" s="17"/>
      <c r="BD19" s="17"/>
    </row>
    <row r="20" spans="2:56" x14ac:dyDescent="0.15">
      <c r="B20" s="7"/>
      <c r="C20" s="6"/>
      <c r="D20" s="7"/>
      <c r="E20" s="6" t="s">
        <v>3</v>
      </c>
      <c r="F20" s="7" t="s">
        <v>3</v>
      </c>
      <c r="G20" s="6"/>
      <c r="H20" s="7"/>
      <c r="I20" s="6"/>
      <c r="AG20" s="5"/>
      <c r="AH20" s="5"/>
      <c r="AI20" s="5"/>
      <c r="AJ20" s="5"/>
      <c r="AK20" s="12"/>
      <c r="AL20" s="12"/>
      <c r="AM20" s="12"/>
      <c r="AN20" s="5"/>
      <c r="AO20" s="5"/>
      <c r="AP20" s="5"/>
      <c r="AQ20" s="5"/>
      <c r="AR20" s="12"/>
      <c r="AS20" s="12"/>
      <c r="AT20" s="12"/>
      <c r="AU20" s="12"/>
    </row>
    <row r="21" spans="2:56" x14ac:dyDescent="0.15">
      <c r="L21" s="1" t="s">
        <v>0</v>
      </c>
      <c r="M21" s="1" t="s">
        <v>1</v>
      </c>
      <c r="N21" s="16" t="s">
        <v>2</v>
      </c>
      <c r="O21" s="16"/>
      <c r="Q21" s="1" t="s">
        <v>0</v>
      </c>
      <c r="R21" s="1" t="s">
        <v>1</v>
      </c>
      <c r="S21" s="16" t="s">
        <v>2</v>
      </c>
      <c r="T21" s="16"/>
      <c r="V21" s="1" t="s">
        <v>0</v>
      </c>
      <c r="W21" s="1" t="s">
        <v>1</v>
      </c>
      <c r="X21" s="16" t="s">
        <v>2</v>
      </c>
      <c r="Y21" s="16"/>
      <c r="AA21" s="1" t="s">
        <v>0</v>
      </c>
      <c r="AB21" s="1" t="s">
        <v>1</v>
      </c>
      <c r="AC21" s="16" t="s">
        <v>2</v>
      </c>
      <c r="AD21" s="16"/>
      <c r="AG21" s="5"/>
      <c r="AH21" s="5"/>
      <c r="AI21" s="5"/>
      <c r="AJ21" s="5"/>
      <c r="AK21" s="12"/>
      <c r="AL21" s="12"/>
      <c r="AM21" s="12"/>
      <c r="AN21" s="5"/>
      <c r="AO21" s="5"/>
      <c r="AP21" s="5"/>
      <c r="AQ21" s="5"/>
      <c r="AR21" s="12"/>
      <c r="AS21" s="12"/>
      <c r="AT21" s="12"/>
      <c r="AU21" s="12"/>
    </row>
    <row r="22" spans="2:56" x14ac:dyDescent="0.15">
      <c r="L22" s="4">
        <f>IF($B$9="●",1,0)</f>
        <v>0</v>
      </c>
      <c r="M22" s="13">
        <v>1</v>
      </c>
      <c r="N22" s="17">
        <f>SUMPRODUCT(L22:L25,M22:M25)</f>
        <v>0</v>
      </c>
      <c r="O22" s="17">
        <f>IF(N22&gt;=2,1,0)</f>
        <v>0</v>
      </c>
      <c r="Q22" s="4">
        <f>IF($D$9="●",1,0)</f>
        <v>1</v>
      </c>
      <c r="R22" s="13">
        <v>1</v>
      </c>
      <c r="S22" s="17">
        <f>SUMPRODUCT(Q22:Q25,R22:R25)</f>
        <v>2</v>
      </c>
      <c r="T22" s="17">
        <f>IF(S22&gt;=2,1,0)</f>
        <v>1</v>
      </c>
      <c r="V22" s="4">
        <f>IF($F$9="●",1,0)</f>
        <v>0</v>
      </c>
      <c r="W22" s="13">
        <v>1</v>
      </c>
      <c r="X22" s="17">
        <f>SUMPRODUCT(V22:V25,W22:W25)</f>
        <v>2</v>
      </c>
      <c r="Y22" s="17">
        <f>IF(X22&gt;=2,1,0)</f>
        <v>1</v>
      </c>
      <c r="AA22" s="4">
        <f>IF($H$9="●",1,0)</f>
        <v>0</v>
      </c>
      <c r="AB22" s="13">
        <v>1</v>
      </c>
      <c r="AC22" s="17">
        <f>SUMPRODUCT(AA22:AA25,AB22:AB25)</f>
        <v>0</v>
      </c>
      <c r="AD22" s="17">
        <f>IF(AC22&gt;=2,1,0)</f>
        <v>0</v>
      </c>
      <c r="AG22" s="15">
        <v>5</v>
      </c>
      <c r="AH22" s="15"/>
      <c r="AI22" s="15"/>
      <c r="AJ22" s="15"/>
      <c r="AL22" s="15">
        <v>6</v>
      </c>
      <c r="AM22" s="15"/>
      <c r="AN22" s="15"/>
      <c r="AO22" s="15"/>
      <c r="AQ22" s="15">
        <v>7</v>
      </c>
      <c r="AR22" s="15"/>
      <c r="AS22" s="15"/>
      <c r="AT22" s="15"/>
      <c r="AV22" s="15">
        <v>8</v>
      </c>
      <c r="AW22" s="15"/>
      <c r="AX22" s="15"/>
      <c r="AY22" s="15"/>
      <c r="BA22" s="15">
        <v>9</v>
      </c>
      <c r="BB22" s="15"/>
      <c r="BC22" s="15"/>
      <c r="BD22" s="15"/>
    </row>
    <row r="23" spans="2:56" x14ac:dyDescent="0.15">
      <c r="B23" s="9"/>
      <c r="C23" s="8"/>
      <c r="D23" s="9"/>
      <c r="E23" s="8"/>
      <c r="F23" s="9" t="s">
        <v>3</v>
      </c>
      <c r="G23" s="8"/>
      <c r="H23" s="9"/>
      <c r="I23" s="8"/>
      <c r="L23" s="4">
        <f>IF($C$9="●",1,0)</f>
        <v>0</v>
      </c>
      <c r="M23" s="13">
        <v>1</v>
      </c>
      <c r="N23" s="17"/>
      <c r="O23" s="17"/>
      <c r="Q23" s="4">
        <f>IF(E9="●",1,0)</f>
        <v>0</v>
      </c>
      <c r="R23" s="13">
        <v>1</v>
      </c>
      <c r="S23" s="17"/>
      <c r="T23" s="17"/>
      <c r="V23" s="4">
        <f>IF($G$9="●",1,0)</f>
        <v>1</v>
      </c>
      <c r="W23" s="13">
        <v>1</v>
      </c>
      <c r="X23" s="17"/>
      <c r="Y23" s="17"/>
      <c r="AA23" s="4">
        <f>IF($I$9="●",1,0)</f>
        <v>0</v>
      </c>
      <c r="AB23" s="13">
        <v>1</v>
      </c>
      <c r="AC23" s="17"/>
      <c r="AD23" s="17"/>
      <c r="AG23" s="3" t="s">
        <v>0</v>
      </c>
      <c r="AH23" s="3" t="s">
        <v>1</v>
      </c>
      <c r="AI23" s="16" t="s">
        <v>2</v>
      </c>
      <c r="AJ23" s="16"/>
      <c r="AL23" s="3" t="s">
        <v>0</v>
      </c>
      <c r="AM23" s="3" t="s">
        <v>1</v>
      </c>
      <c r="AN23" s="16" t="s">
        <v>2</v>
      </c>
      <c r="AO23" s="16"/>
      <c r="AP23" s="11"/>
      <c r="AQ23" s="3" t="s">
        <v>0</v>
      </c>
      <c r="AR23" s="3" t="s">
        <v>1</v>
      </c>
      <c r="AS23" s="16" t="s">
        <v>2</v>
      </c>
      <c r="AT23" s="16"/>
      <c r="AU23" s="12"/>
      <c r="AV23" s="3" t="s">
        <v>0</v>
      </c>
      <c r="AW23" s="3" t="s">
        <v>1</v>
      </c>
      <c r="AX23" s="16" t="s">
        <v>2</v>
      </c>
      <c r="AY23" s="16"/>
      <c r="BA23" s="3" t="s">
        <v>0</v>
      </c>
      <c r="BB23" s="3" t="s">
        <v>1</v>
      </c>
      <c r="BC23" s="16" t="s">
        <v>2</v>
      </c>
      <c r="BD23" s="16"/>
    </row>
    <row r="24" spans="2:56" x14ac:dyDescent="0.15">
      <c r="B24" s="7"/>
      <c r="C24" s="6"/>
      <c r="D24" s="7"/>
      <c r="E24" s="6" t="s">
        <v>3</v>
      </c>
      <c r="F24" s="7" t="s">
        <v>3</v>
      </c>
      <c r="G24" s="6"/>
      <c r="H24" s="7"/>
      <c r="I24" s="6"/>
      <c r="L24" s="4">
        <f>IF($B$10="●",1,0)</f>
        <v>0</v>
      </c>
      <c r="M24" s="13">
        <v>1</v>
      </c>
      <c r="N24" s="17"/>
      <c r="O24" s="17"/>
      <c r="Q24" s="4">
        <f>IF($D$10="●",1,0)</f>
        <v>0</v>
      </c>
      <c r="R24" s="13">
        <v>1</v>
      </c>
      <c r="S24" s="17"/>
      <c r="T24" s="17"/>
      <c r="V24" s="4">
        <f>IF($F$10="●",1,0)</f>
        <v>1</v>
      </c>
      <c r="W24" s="13">
        <v>1</v>
      </c>
      <c r="X24" s="17"/>
      <c r="Y24" s="17"/>
      <c r="AA24" s="4">
        <f>IF($H$10="●",1,0)</f>
        <v>0</v>
      </c>
      <c r="AB24" s="13">
        <v>1</v>
      </c>
      <c r="AC24" s="17"/>
      <c r="AD24" s="17"/>
      <c r="AG24" s="4">
        <f>$O$4</f>
        <v>0</v>
      </c>
      <c r="AH24" s="13">
        <v>1</v>
      </c>
      <c r="AI24" s="17">
        <f>SUMPRODUCT(AG24:AG39,AH24:AH39)</f>
        <v>7.9200000000000008</v>
      </c>
      <c r="AJ24" s="17">
        <f>IF(AI24&gt;=COUNT(AG24:AG39)/2,1,0)</f>
        <v>0</v>
      </c>
      <c r="AL24" s="4">
        <f>$O$4</f>
        <v>0</v>
      </c>
      <c r="AM24" s="13">
        <v>1</v>
      </c>
      <c r="AN24" s="17">
        <f>SUMPRODUCT(AL24:AL39,AM24:AM39)</f>
        <v>7.9200000000000008</v>
      </c>
      <c r="AO24" s="17">
        <f>IF(AN24&gt;=COUNT(AL24:AL39)/2,1,0)</f>
        <v>0</v>
      </c>
      <c r="AP24" s="5"/>
      <c r="AQ24" s="4">
        <f>$O$4</f>
        <v>0</v>
      </c>
      <c r="AR24" s="13">
        <v>1</v>
      </c>
      <c r="AS24" s="17">
        <f>SUMPRODUCT(AQ24:AQ39,AR24:AR39)</f>
        <v>7.9200000000000008</v>
      </c>
      <c r="AT24" s="17">
        <f>IF(AS24&gt;=COUNT(AQ24:AQ39)/2,1,0)</f>
        <v>0</v>
      </c>
      <c r="AU24" s="12"/>
      <c r="AV24" s="4">
        <f>$O$4</f>
        <v>0</v>
      </c>
      <c r="AW24" s="13">
        <v>1</v>
      </c>
      <c r="AX24" s="17">
        <f>SUMPRODUCT(AV24:AV39,AW24:AW39)</f>
        <v>7.9200000000000008</v>
      </c>
      <c r="AY24" s="17">
        <f>IF(AX24&gt;=COUNT(AV24:AV39)/2,1,0)</f>
        <v>0</v>
      </c>
      <c r="BA24" s="4">
        <f>$O$4</f>
        <v>0</v>
      </c>
      <c r="BB24" s="13">
        <v>1</v>
      </c>
      <c r="BC24" s="17">
        <f>SUMPRODUCT(BA24:BA39,BB24:BB39)</f>
        <v>7.9200000000000008</v>
      </c>
      <c r="BD24" s="17">
        <f>IF(BC24&gt;=COUNT(BA24:BA39)/2,1,0)</f>
        <v>0</v>
      </c>
    </row>
    <row r="25" spans="2:56" x14ac:dyDescent="0.15">
      <c r="B25" s="9"/>
      <c r="C25" s="8"/>
      <c r="D25" s="9"/>
      <c r="E25" s="8"/>
      <c r="F25" s="9" t="s">
        <v>3</v>
      </c>
      <c r="G25" s="8"/>
      <c r="H25" s="9"/>
      <c r="I25" s="8"/>
      <c r="L25" s="4">
        <f>IF($C$10="●",1,0)</f>
        <v>0</v>
      </c>
      <c r="M25" s="13">
        <v>1</v>
      </c>
      <c r="N25" s="17"/>
      <c r="O25" s="17"/>
      <c r="Q25" s="4">
        <f>IF($E$10="●",1,0)</f>
        <v>1</v>
      </c>
      <c r="R25" s="13">
        <v>1</v>
      </c>
      <c r="S25" s="17"/>
      <c r="T25" s="17"/>
      <c r="V25" s="4">
        <f>IF($G$10="●",1,0)</f>
        <v>0</v>
      </c>
      <c r="W25" s="13">
        <v>1</v>
      </c>
      <c r="X25" s="17"/>
      <c r="Y25" s="17"/>
      <c r="AA25" s="4">
        <f>IF($I$10="●",1,0)</f>
        <v>0</v>
      </c>
      <c r="AB25" s="13">
        <v>1</v>
      </c>
      <c r="AC25" s="17"/>
      <c r="AD25" s="17"/>
      <c r="AG25" s="4">
        <f>$T$4</f>
        <v>1</v>
      </c>
      <c r="AH25" s="13">
        <v>0.99</v>
      </c>
      <c r="AI25" s="17"/>
      <c r="AJ25" s="17"/>
      <c r="AL25" s="4">
        <f>$T$4</f>
        <v>1</v>
      </c>
      <c r="AM25" s="13">
        <v>0.99</v>
      </c>
      <c r="AN25" s="17"/>
      <c r="AO25" s="17"/>
      <c r="AP25" s="5"/>
      <c r="AQ25" s="4">
        <f>$T$4</f>
        <v>1</v>
      </c>
      <c r="AR25" s="13">
        <v>0.99</v>
      </c>
      <c r="AS25" s="17"/>
      <c r="AT25" s="17"/>
      <c r="AU25" s="12"/>
      <c r="AV25" s="4">
        <f>$T$4</f>
        <v>1</v>
      </c>
      <c r="AW25" s="13">
        <v>0.99</v>
      </c>
      <c r="AX25" s="17"/>
      <c r="AY25" s="17"/>
      <c r="BA25" s="4">
        <f>$T$4</f>
        <v>1</v>
      </c>
      <c r="BB25" s="13">
        <v>0.99</v>
      </c>
      <c r="BC25" s="17"/>
      <c r="BD25" s="17"/>
    </row>
    <row r="26" spans="2:56" x14ac:dyDescent="0.15">
      <c r="B26" s="7"/>
      <c r="C26" s="6"/>
      <c r="D26" s="7"/>
      <c r="E26" s="6"/>
      <c r="F26" s="7" t="s">
        <v>3</v>
      </c>
      <c r="G26" s="6"/>
      <c r="H26" s="7"/>
      <c r="I26" s="6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G26" s="4">
        <f>$Y$4</f>
        <v>1</v>
      </c>
      <c r="AH26" s="13">
        <v>0.99</v>
      </c>
      <c r="AI26" s="17"/>
      <c r="AJ26" s="17"/>
      <c r="AL26" s="4">
        <f>$Y$4</f>
        <v>1</v>
      </c>
      <c r="AM26" s="13">
        <v>0.99</v>
      </c>
      <c r="AN26" s="17"/>
      <c r="AO26" s="17"/>
      <c r="AP26" s="5"/>
      <c r="AQ26" s="4">
        <f>$Y$4</f>
        <v>1</v>
      </c>
      <c r="AR26" s="13">
        <v>0.99</v>
      </c>
      <c r="AS26" s="17"/>
      <c r="AT26" s="17"/>
      <c r="AU26" s="12"/>
      <c r="AV26" s="4">
        <f>$Y$4</f>
        <v>1</v>
      </c>
      <c r="AW26" s="13">
        <v>0.99</v>
      </c>
      <c r="AX26" s="17"/>
      <c r="AY26" s="17"/>
      <c r="BA26" s="4">
        <f>$Y$4</f>
        <v>1</v>
      </c>
      <c r="BB26" s="13">
        <v>0.99</v>
      </c>
      <c r="BC26" s="17"/>
      <c r="BD26" s="17"/>
    </row>
    <row r="27" spans="2:56" x14ac:dyDescent="0.15">
      <c r="B27" s="9"/>
      <c r="C27" s="8"/>
      <c r="D27" s="9"/>
      <c r="E27" s="8"/>
      <c r="F27" s="9" t="s">
        <v>3</v>
      </c>
      <c r="G27" s="8"/>
      <c r="H27" s="9"/>
      <c r="I27" s="8"/>
      <c r="J27" s="10"/>
      <c r="K27" s="10"/>
      <c r="L27" s="10"/>
      <c r="M27" s="10"/>
      <c r="N27" s="10"/>
      <c r="O27" s="10"/>
      <c r="P27" s="10"/>
      <c r="AG27" s="4">
        <f>$AD$4</f>
        <v>0</v>
      </c>
      <c r="AH27" s="13">
        <v>1</v>
      </c>
      <c r="AI27" s="17"/>
      <c r="AJ27" s="17"/>
      <c r="AL27" s="4">
        <f>$AD$4</f>
        <v>0</v>
      </c>
      <c r="AM27" s="13">
        <v>1</v>
      </c>
      <c r="AN27" s="17"/>
      <c r="AO27" s="17"/>
      <c r="AP27" s="5"/>
      <c r="AQ27" s="4">
        <f>$AD$4</f>
        <v>0</v>
      </c>
      <c r="AR27" s="13">
        <v>1</v>
      </c>
      <c r="AS27" s="17"/>
      <c r="AT27" s="17"/>
      <c r="AU27" s="12"/>
      <c r="AV27" s="4">
        <f>$AD$4</f>
        <v>0</v>
      </c>
      <c r="AW27" s="13">
        <v>1</v>
      </c>
      <c r="AX27" s="17"/>
      <c r="AY27" s="17"/>
      <c r="BA27" s="4">
        <f>$AD$4</f>
        <v>0</v>
      </c>
      <c r="BB27" s="13">
        <v>1</v>
      </c>
      <c r="BC27" s="17"/>
      <c r="BD27" s="17"/>
    </row>
    <row r="28" spans="2:56" x14ac:dyDescent="0.15">
      <c r="B28" s="7"/>
      <c r="C28" s="6"/>
      <c r="D28" s="7"/>
      <c r="E28" s="6"/>
      <c r="F28" s="7" t="s">
        <v>3</v>
      </c>
      <c r="G28" s="6"/>
      <c r="H28" s="7"/>
      <c r="I28" s="6"/>
      <c r="AG28" s="4">
        <f>$O$10</f>
        <v>0</v>
      </c>
      <c r="AH28" s="13">
        <v>1</v>
      </c>
      <c r="AI28" s="17"/>
      <c r="AJ28" s="17"/>
      <c r="AL28" s="4">
        <f>$O$10</f>
        <v>0</v>
      </c>
      <c r="AM28" s="13">
        <v>1</v>
      </c>
      <c r="AN28" s="17"/>
      <c r="AO28" s="17"/>
      <c r="AP28" s="5"/>
      <c r="AQ28" s="4">
        <f>$O$10</f>
        <v>0</v>
      </c>
      <c r="AR28" s="13">
        <v>1</v>
      </c>
      <c r="AS28" s="17"/>
      <c r="AT28" s="17"/>
      <c r="AU28" s="12"/>
      <c r="AV28" s="4">
        <f>$O$10</f>
        <v>0</v>
      </c>
      <c r="AW28" s="13">
        <v>1</v>
      </c>
      <c r="AX28" s="17"/>
      <c r="AY28" s="17"/>
      <c r="BA28" s="4">
        <f>$O$10</f>
        <v>0</v>
      </c>
      <c r="BB28" s="13">
        <v>1</v>
      </c>
      <c r="BC28" s="17"/>
      <c r="BD28" s="17"/>
    </row>
    <row r="29" spans="2:56" x14ac:dyDescent="0.15">
      <c r="B29" s="9"/>
      <c r="C29" s="8"/>
      <c r="D29" s="9"/>
      <c r="E29" s="8"/>
      <c r="F29" s="9" t="s">
        <v>3</v>
      </c>
      <c r="G29" s="8"/>
      <c r="H29" s="9"/>
      <c r="I29" s="8"/>
      <c r="AG29" s="4">
        <f>$T$10</f>
        <v>1</v>
      </c>
      <c r="AH29" s="13">
        <v>0.99</v>
      </c>
      <c r="AI29" s="17"/>
      <c r="AJ29" s="17"/>
      <c r="AL29" s="4">
        <f>$T$10</f>
        <v>1</v>
      </c>
      <c r="AM29" s="13">
        <v>0.99</v>
      </c>
      <c r="AN29" s="17"/>
      <c r="AO29" s="17"/>
      <c r="AP29" s="5"/>
      <c r="AQ29" s="4">
        <f>$T$10</f>
        <v>1</v>
      </c>
      <c r="AR29" s="13">
        <v>0.99</v>
      </c>
      <c r="AS29" s="17"/>
      <c r="AT29" s="17"/>
      <c r="AU29" s="12"/>
      <c r="AV29" s="4">
        <f>$T$10</f>
        <v>1</v>
      </c>
      <c r="AW29" s="13">
        <v>0.99</v>
      </c>
      <c r="AX29" s="17"/>
      <c r="AY29" s="17"/>
      <c r="BA29" s="4">
        <f>$T$10</f>
        <v>1</v>
      </c>
      <c r="BB29" s="13">
        <v>0.99</v>
      </c>
      <c r="BC29" s="17"/>
      <c r="BD29" s="17"/>
    </row>
    <row r="30" spans="2:56" x14ac:dyDescent="0.15">
      <c r="B30" s="7"/>
      <c r="C30" s="6"/>
      <c r="D30" s="7"/>
      <c r="E30" s="6" t="s">
        <v>3</v>
      </c>
      <c r="F30" s="7" t="s">
        <v>3</v>
      </c>
      <c r="G30" s="6" t="s">
        <v>3</v>
      </c>
      <c r="H30" s="7"/>
      <c r="I30" s="6"/>
      <c r="AG30" s="4">
        <f>$Y$10</f>
        <v>1</v>
      </c>
      <c r="AH30" s="13">
        <v>0.99</v>
      </c>
      <c r="AI30" s="17"/>
      <c r="AJ30" s="17"/>
      <c r="AL30" s="4">
        <f>$Y$10</f>
        <v>1</v>
      </c>
      <c r="AM30" s="13">
        <v>0.99</v>
      </c>
      <c r="AN30" s="17"/>
      <c r="AO30" s="17"/>
      <c r="AP30" s="5"/>
      <c r="AQ30" s="4">
        <f>$Y$10</f>
        <v>1</v>
      </c>
      <c r="AR30" s="13">
        <v>0.99</v>
      </c>
      <c r="AS30" s="17"/>
      <c r="AT30" s="17"/>
      <c r="AU30" s="12"/>
      <c r="AV30" s="4">
        <f>$Y$10</f>
        <v>1</v>
      </c>
      <c r="AW30" s="13">
        <v>0.99</v>
      </c>
      <c r="AX30" s="17"/>
      <c r="AY30" s="17"/>
      <c r="BA30" s="4">
        <f>$Y$10</f>
        <v>1</v>
      </c>
      <c r="BB30" s="13">
        <v>0.99</v>
      </c>
      <c r="BC30" s="17"/>
      <c r="BD30" s="17"/>
    </row>
    <row r="31" spans="2:56" x14ac:dyDescent="0.15">
      <c r="AG31" s="4">
        <f>$AD$10</f>
        <v>0</v>
      </c>
      <c r="AH31" s="13">
        <v>1</v>
      </c>
      <c r="AI31" s="17"/>
      <c r="AJ31" s="17"/>
      <c r="AL31" s="4">
        <f>$AD$10</f>
        <v>0</v>
      </c>
      <c r="AM31" s="13">
        <v>1</v>
      </c>
      <c r="AN31" s="17"/>
      <c r="AO31" s="17"/>
      <c r="AP31" s="5"/>
      <c r="AQ31" s="4">
        <f>$AD$10</f>
        <v>0</v>
      </c>
      <c r="AR31" s="13">
        <v>1</v>
      </c>
      <c r="AS31" s="17"/>
      <c r="AT31" s="17"/>
      <c r="AU31" s="12"/>
      <c r="AV31" s="4">
        <f>$AD$10</f>
        <v>0</v>
      </c>
      <c r="AW31" s="13">
        <v>1</v>
      </c>
      <c r="AX31" s="17"/>
      <c r="AY31" s="17"/>
      <c r="BA31" s="4">
        <f>$AD$10</f>
        <v>0</v>
      </c>
      <c r="BB31" s="13">
        <v>1</v>
      </c>
      <c r="BC31" s="17"/>
      <c r="BD31" s="17"/>
    </row>
    <row r="32" spans="2:56" x14ac:dyDescent="0.15">
      <c r="AG32" s="4">
        <f>$O$16</f>
        <v>0</v>
      </c>
      <c r="AH32" s="13">
        <v>1</v>
      </c>
      <c r="AI32" s="17"/>
      <c r="AJ32" s="17"/>
      <c r="AL32" s="4">
        <f>$O$16</f>
        <v>0</v>
      </c>
      <c r="AM32" s="13">
        <v>1</v>
      </c>
      <c r="AN32" s="17"/>
      <c r="AO32" s="17"/>
      <c r="AP32" s="12"/>
      <c r="AQ32" s="4">
        <f>$O$16</f>
        <v>0</v>
      </c>
      <c r="AR32" s="13">
        <v>1</v>
      </c>
      <c r="AS32" s="17"/>
      <c r="AT32" s="17"/>
      <c r="AU32" s="12"/>
      <c r="AV32" s="4">
        <f>$O$16</f>
        <v>0</v>
      </c>
      <c r="AW32" s="13">
        <v>1</v>
      </c>
      <c r="AX32" s="17"/>
      <c r="AY32" s="17"/>
      <c r="BA32" s="4">
        <f>$O$16</f>
        <v>0</v>
      </c>
      <c r="BB32" s="13">
        <v>1</v>
      </c>
      <c r="BC32" s="17"/>
      <c r="BD32" s="17"/>
    </row>
    <row r="33" spans="2:56" x14ac:dyDescent="0.15">
      <c r="B33" s="9"/>
      <c r="C33" s="8"/>
      <c r="D33" s="9"/>
      <c r="E33" s="8" t="s">
        <v>3</v>
      </c>
      <c r="F33" s="9" t="s">
        <v>3</v>
      </c>
      <c r="G33" s="8"/>
      <c r="H33" s="9"/>
      <c r="I33" s="8"/>
      <c r="L33" s="5"/>
      <c r="AG33" s="4">
        <f>$T$16</f>
        <v>1</v>
      </c>
      <c r="AH33" s="13">
        <v>0.99</v>
      </c>
      <c r="AI33" s="17"/>
      <c r="AJ33" s="17"/>
      <c r="AK33" s="12"/>
      <c r="AL33" s="4">
        <f>$T$16</f>
        <v>1</v>
      </c>
      <c r="AM33" s="13">
        <v>0.99</v>
      </c>
      <c r="AN33" s="17"/>
      <c r="AO33" s="17"/>
      <c r="AP33" s="11"/>
      <c r="AQ33" s="4">
        <f>$T$16</f>
        <v>1</v>
      </c>
      <c r="AR33" s="13">
        <v>0.99</v>
      </c>
      <c r="AS33" s="17"/>
      <c r="AT33" s="17"/>
      <c r="AU33" s="12"/>
      <c r="AV33" s="4">
        <f>$T$16</f>
        <v>1</v>
      </c>
      <c r="AW33" s="13">
        <v>0.99</v>
      </c>
      <c r="AX33" s="17"/>
      <c r="AY33" s="17"/>
      <c r="BA33" s="4">
        <f>$T$16</f>
        <v>1</v>
      </c>
      <c r="BB33" s="13">
        <v>0.99</v>
      </c>
      <c r="BC33" s="17"/>
      <c r="BD33" s="17"/>
    </row>
    <row r="34" spans="2:56" x14ac:dyDescent="0.15">
      <c r="B34" s="7"/>
      <c r="C34" s="6"/>
      <c r="D34" s="7" t="s">
        <v>3</v>
      </c>
      <c r="E34" s="6"/>
      <c r="F34" s="7"/>
      <c r="G34" s="6" t="s">
        <v>3</v>
      </c>
      <c r="H34" s="7"/>
      <c r="I34" s="6"/>
      <c r="AG34" s="4">
        <f>$Y$16</f>
        <v>1</v>
      </c>
      <c r="AH34" s="13">
        <v>0.99</v>
      </c>
      <c r="AI34" s="17"/>
      <c r="AJ34" s="17"/>
      <c r="AK34" s="12"/>
      <c r="AL34" s="4">
        <f>$Y$16</f>
        <v>1</v>
      </c>
      <c r="AM34" s="13">
        <v>0.99</v>
      </c>
      <c r="AN34" s="17"/>
      <c r="AO34" s="17"/>
      <c r="AP34" s="5"/>
      <c r="AQ34" s="4">
        <f>$Y$16</f>
        <v>1</v>
      </c>
      <c r="AR34" s="13">
        <v>0.99</v>
      </c>
      <c r="AS34" s="17"/>
      <c r="AT34" s="17"/>
      <c r="AU34" s="12"/>
      <c r="AV34" s="4">
        <f>$Y$16</f>
        <v>1</v>
      </c>
      <c r="AW34" s="13">
        <v>0.99</v>
      </c>
      <c r="AX34" s="17"/>
      <c r="AY34" s="17"/>
      <c r="BA34" s="4">
        <f>$Y$16</f>
        <v>1</v>
      </c>
      <c r="BB34" s="13">
        <v>0.99</v>
      </c>
      <c r="BC34" s="17"/>
      <c r="BD34" s="17"/>
    </row>
    <row r="35" spans="2:56" x14ac:dyDescent="0.15">
      <c r="B35" s="9"/>
      <c r="C35" s="8"/>
      <c r="D35" s="9"/>
      <c r="E35" s="8"/>
      <c r="F35" s="9"/>
      <c r="G35" s="8" t="s">
        <v>3</v>
      </c>
      <c r="H35" s="9"/>
      <c r="I35" s="8"/>
      <c r="AG35" s="4">
        <f>$AD$16</f>
        <v>0</v>
      </c>
      <c r="AH35" s="13">
        <v>1</v>
      </c>
      <c r="AI35" s="17"/>
      <c r="AJ35" s="17"/>
      <c r="AK35" s="12"/>
      <c r="AL35" s="4">
        <f>$AD$16</f>
        <v>0</v>
      </c>
      <c r="AM35" s="13">
        <v>1</v>
      </c>
      <c r="AN35" s="17"/>
      <c r="AO35" s="17"/>
      <c r="AP35" s="5"/>
      <c r="AQ35" s="4">
        <f>$AD$16</f>
        <v>0</v>
      </c>
      <c r="AR35" s="13">
        <v>1</v>
      </c>
      <c r="AS35" s="17"/>
      <c r="AT35" s="17"/>
      <c r="AU35" s="12"/>
      <c r="AV35" s="4">
        <f>$AD$16</f>
        <v>0</v>
      </c>
      <c r="AW35" s="13">
        <v>1</v>
      </c>
      <c r="AX35" s="17"/>
      <c r="AY35" s="17"/>
      <c r="BA35" s="4">
        <f>$AD$16</f>
        <v>0</v>
      </c>
      <c r="BB35" s="13">
        <v>1</v>
      </c>
      <c r="BC35" s="17"/>
      <c r="BD35" s="17"/>
    </row>
    <row r="36" spans="2:56" x14ac:dyDescent="0.15">
      <c r="B36" s="7"/>
      <c r="C36" s="6"/>
      <c r="D36" s="7"/>
      <c r="E36" s="6"/>
      <c r="F36" s="7"/>
      <c r="G36" s="6" t="s">
        <v>3</v>
      </c>
      <c r="H36" s="7"/>
      <c r="I36" s="6"/>
      <c r="AG36" s="4">
        <f>$O$22</f>
        <v>0</v>
      </c>
      <c r="AH36" s="13">
        <v>1</v>
      </c>
      <c r="AI36" s="17"/>
      <c r="AJ36" s="17"/>
      <c r="AK36" s="12"/>
      <c r="AL36" s="4">
        <f>$O$22</f>
        <v>0</v>
      </c>
      <c r="AM36" s="13">
        <v>1</v>
      </c>
      <c r="AN36" s="17"/>
      <c r="AO36" s="17"/>
      <c r="AP36" s="5"/>
      <c r="AQ36" s="4">
        <f>$O$22</f>
        <v>0</v>
      </c>
      <c r="AR36" s="13">
        <v>1</v>
      </c>
      <c r="AS36" s="17"/>
      <c r="AT36" s="17"/>
      <c r="AU36" s="12"/>
      <c r="AV36" s="4">
        <f>$O$22</f>
        <v>0</v>
      </c>
      <c r="AW36" s="13">
        <v>1</v>
      </c>
      <c r="AX36" s="17"/>
      <c r="AY36" s="17"/>
      <c r="BA36" s="4">
        <f>$O$22</f>
        <v>0</v>
      </c>
      <c r="BB36" s="13">
        <v>1</v>
      </c>
      <c r="BC36" s="17"/>
      <c r="BD36" s="17"/>
    </row>
    <row r="37" spans="2:56" x14ac:dyDescent="0.15">
      <c r="B37" s="9"/>
      <c r="C37" s="8"/>
      <c r="D37" s="9"/>
      <c r="E37" s="8" t="s">
        <v>3</v>
      </c>
      <c r="F37" s="9" t="s">
        <v>3</v>
      </c>
      <c r="G37" s="8"/>
      <c r="H37" s="9"/>
      <c r="I37" s="8"/>
      <c r="AG37" s="4">
        <f>$T$22</f>
        <v>1</v>
      </c>
      <c r="AH37" s="13">
        <v>0.99</v>
      </c>
      <c r="AI37" s="17"/>
      <c r="AJ37" s="17"/>
      <c r="AK37" s="12"/>
      <c r="AL37" s="4">
        <f>$T$22</f>
        <v>1</v>
      </c>
      <c r="AM37" s="13">
        <v>0.99</v>
      </c>
      <c r="AN37" s="17"/>
      <c r="AO37" s="17"/>
      <c r="AP37" s="5"/>
      <c r="AQ37" s="4">
        <f>$T$22</f>
        <v>1</v>
      </c>
      <c r="AR37" s="13">
        <v>0.99</v>
      </c>
      <c r="AS37" s="17"/>
      <c r="AT37" s="17"/>
      <c r="AU37" s="12"/>
      <c r="AV37" s="4">
        <f>$T$22</f>
        <v>1</v>
      </c>
      <c r="AW37" s="13">
        <v>0.99</v>
      </c>
      <c r="AX37" s="17"/>
      <c r="AY37" s="17"/>
      <c r="BA37" s="4">
        <f>$T$22</f>
        <v>1</v>
      </c>
      <c r="BB37" s="13">
        <v>0.99</v>
      </c>
      <c r="BC37" s="17"/>
      <c r="BD37" s="17"/>
    </row>
    <row r="38" spans="2:56" x14ac:dyDescent="0.15">
      <c r="B38" s="7"/>
      <c r="C38" s="6"/>
      <c r="D38" s="7" t="s">
        <v>3</v>
      </c>
      <c r="E38" s="6"/>
      <c r="F38" s="7"/>
      <c r="G38" s="6"/>
      <c r="H38" s="7"/>
      <c r="I38" s="6"/>
      <c r="AG38" s="4">
        <f>$Y$22</f>
        <v>1</v>
      </c>
      <c r="AH38" s="13">
        <v>0.99</v>
      </c>
      <c r="AI38" s="17"/>
      <c r="AJ38" s="17"/>
      <c r="AK38" s="12"/>
      <c r="AL38" s="4">
        <f>$Y$22</f>
        <v>1</v>
      </c>
      <c r="AM38" s="13">
        <v>0.99</v>
      </c>
      <c r="AN38" s="17"/>
      <c r="AO38" s="17"/>
      <c r="AP38" s="5"/>
      <c r="AQ38" s="4">
        <f>$Y$22</f>
        <v>1</v>
      </c>
      <c r="AR38" s="13">
        <v>0.99</v>
      </c>
      <c r="AS38" s="17"/>
      <c r="AT38" s="17"/>
      <c r="AU38" s="12"/>
      <c r="AV38" s="4">
        <f>$Y$22</f>
        <v>1</v>
      </c>
      <c r="AW38" s="13">
        <v>0.99</v>
      </c>
      <c r="AX38" s="17"/>
      <c r="AY38" s="17"/>
      <c r="BA38" s="4">
        <f>$Y$22</f>
        <v>1</v>
      </c>
      <c r="BB38" s="13">
        <v>0.99</v>
      </c>
      <c r="BC38" s="17"/>
      <c r="BD38" s="17"/>
    </row>
    <row r="39" spans="2:56" x14ac:dyDescent="0.15">
      <c r="B39" s="9"/>
      <c r="C39" s="8"/>
      <c r="D39" s="9" t="s">
        <v>3</v>
      </c>
      <c r="E39" s="8"/>
      <c r="F39" s="9"/>
      <c r="G39" s="8"/>
      <c r="H39" s="9"/>
      <c r="I39" s="8"/>
      <c r="L39" s="5"/>
      <c r="AG39" s="4">
        <f>$AD$22</f>
        <v>0</v>
      </c>
      <c r="AH39" s="13">
        <v>1</v>
      </c>
      <c r="AI39" s="17"/>
      <c r="AJ39" s="17"/>
      <c r="AK39" s="12"/>
      <c r="AL39" s="4">
        <f>$AD$22</f>
        <v>0</v>
      </c>
      <c r="AM39" s="13">
        <v>1</v>
      </c>
      <c r="AN39" s="17"/>
      <c r="AO39" s="17"/>
      <c r="AP39" s="5"/>
      <c r="AQ39" s="4">
        <f>$AD$22</f>
        <v>0</v>
      </c>
      <c r="AR39" s="13">
        <v>1</v>
      </c>
      <c r="AS39" s="17"/>
      <c r="AT39" s="17"/>
      <c r="AU39" s="12"/>
      <c r="AV39" s="4">
        <f>$AD$22</f>
        <v>0</v>
      </c>
      <c r="AW39" s="13">
        <v>1</v>
      </c>
      <c r="AX39" s="17"/>
      <c r="AY39" s="17"/>
      <c r="BA39" s="4">
        <f>$AD$22</f>
        <v>0</v>
      </c>
      <c r="BB39" s="13">
        <v>1</v>
      </c>
      <c r="BC39" s="17"/>
      <c r="BD39" s="17"/>
    </row>
    <row r="40" spans="2:56" x14ac:dyDescent="0.15">
      <c r="B40" s="7"/>
      <c r="C40" s="6"/>
      <c r="D40" s="7" t="s">
        <v>3</v>
      </c>
      <c r="E40" s="6" t="s">
        <v>3</v>
      </c>
      <c r="F40" s="7" t="s">
        <v>3</v>
      </c>
      <c r="G40" s="6" t="s">
        <v>3</v>
      </c>
      <c r="H40" s="7"/>
      <c r="I40" s="6"/>
      <c r="AG40" s="5"/>
      <c r="AH40" s="5"/>
      <c r="AI40" s="5"/>
      <c r="AJ40" s="5"/>
      <c r="AK40" s="12"/>
      <c r="AL40" s="12"/>
      <c r="AM40" s="12"/>
      <c r="AN40" s="5"/>
      <c r="AO40" s="5"/>
      <c r="AP40" s="5"/>
      <c r="AQ40" s="5"/>
      <c r="AR40" s="12"/>
      <c r="AS40" s="12"/>
      <c r="AT40" s="12"/>
      <c r="AU40" s="12"/>
    </row>
    <row r="41" spans="2:56" x14ac:dyDescent="0.15">
      <c r="AG41" s="5"/>
      <c r="AH41" s="5"/>
      <c r="AI41" s="5"/>
      <c r="AJ41" s="5"/>
      <c r="AK41" s="12"/>
      <c r="AL41" s="12"/>
      <c r="AM41" s="12"/>
      <c r="AN41" s="5"/>
      <c r="AO41" s="5"/>
      <c r="AP41" s="5"/>
      <c r="AQ41" s="5"/>
      <c r="AR41" s="12"/>
      <c r="AS41" s="12"/>
      <c r="AT41" s="12"/>
      <c r="AU41" s="12"/>
    </row>
    <row r="42" spans="2:56" x14ac:dyDescent="0.15"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</row>
    <row r="43" spans="2:56" x14ac:dyDescent="0.15">
      <c r="B43" s="9"/>
      <c r="C43" s="8"/>
      <c r="D43" s="9"/>
      <c r="E43" s="8" t="s">
        <v>3</v>
      </c>
      <c r="F43" s="9" t="s">
        <v>3</v>
      </c>
      <c r="G43" s="8"/>
      <c r="H43" s="9"/>
      <c r="I43" s="8"/>
      <c r="AG43" s="11"/>
      <c r="AH43" s="11"/>
      <c r="AI43" s="11"/>
      <c r="AJ43" s="11"/>
      <c r="AK43" s="12"/>
      <c r="AL43" s="12"/>
      <c r="AM43" s="12"/>
      <c r="AN43" s="11"/>
      <c r="AO43" s="11"/>
      <c r="AP43" s="11"/>
      <c r="AQ43" s="11"/>
      <c r="AR43" s="12"/>
      <c r="AS43" s="12"/>
      <c r="AT43" s="12"/>
      <c r="AU43" s="12"/>
    </row>
    <row r="44" spans="2:56" x14ac:dyDescent="0.15">
      <c r="B44" s="7"/>
      <c r="C44" s="6"/>
      <c r="D44" s="7" t="s">
        <v>3</v>
      </c>
      <c r="E44" s="6"/>
      <c r="F44" s="7"/>
      <c r="G44" s="6" t="s">
        <v>3</v>
      </c>
      <c r="H44" s="7"/>
      <c r="I44" s="6"/>
      <c r="AG44" s="5"/>
      <c r="AH44" s="5"/>
      <c r="AI44" s="5"/>
      <c r="AJ44" s="5"/>
      <c r="AK44" s="12"/>
      <c r="AL44" s="12"/>
      <c r="AM44" s="12"/>
      <c r="AN44" s="5"/>
      <c r="AO44" s="5"/>
      <c r="AP44" s="5"/>
      <c r="AQ44" s="5"/>
      <c r="AR44" s="12"/>
      <c r="AS44" s="12"/>
      <c r="AT44" s="12"/>
      <c r="AU44" s="12"/>
    </row>
    <row r="45" spans="2:56" x14ac:dyDescent="0.15">
      <c r="B45" s="9"/>
      <c r="C45" s="8"/>
      <c r="D45" s="9"/>
      <c r="E45" s="8"/>
      <c r="F45" s="9"/>
      <c r="G45" s="8" t="s">
        <v>3</v>
      </c>
      <c r="H45" s="9"/>
      <c r="I45" s="8"/>
      <c r="AG45" s="5"/>
      <c r="AH45" s="5"/>
      <c r="AI45" s="5"/>
      <c r="AJ45" s="5"/>
      <c r="AK45" s="12"/>
      <c r="AL45" s="12"/>
      <c r="AM45" s="12"/>
      <c r="AN45" s="5"/>
      <c r="AO45" s="5"/>
      <c r="AP45" s="5"/>
      <c r="AQ45" s="5"/>
      <c r="AR45" s="12"/>
      <c r="AS45" s="12"/>
      <c r="AT45" s="12"/>
      <c r="AU45" s="12"/>
    </row>
    <row r="46" spans="2:56" x14ac:dyDescent="0.15">
      <c r="B46" s="7"/>
      <c r="C46" s="6"/>
      <c r="D46" s="7"/>
      <c r="E46" s="6" t="s">
        <v>3</v>
      </c>
      <c r="F46" s="7" t="s">
        <v>3</v>
      </c>
      <c r="G46" s="6"/>
      <c r="H46" s="7"/>
      <c r="I46" s="6"/>
      <c r="AG46" s="5"/>
      <c r="AH46" s="5"/>
      <c r="AI46" s="5"/>
      <c r="AJ46" s="5"/>
      <c r="AK46" s="12"/>
      <c r="AL46" s="11"/>
      <c r="AM46" s="12"/>
      <c r="AN46" s="5"/>
      <c r="AO46" s="5"/>
      <c r="AP46" s="5"/>
      <c r="AQ46" s="5"/>
      <c r="AR46" s="12"/>
      <c r="AS46" s="11"/>
      <c r="AT46" s="12"/>
      <c r="AU46" s="12"/>
    </row>
    <row r="47" spans="2:56" x14ac:dyDescent="0.15">
      <c r="B47" s="9"/>
      <c r="C47" s="8"/>
      <c r="D47" s="9"/>
      <c r="E47" s="8"/>
      <c r="F47" s="9"/>
      <c r="G47" s="8" t="s">
        <v>3</v>
      </c>
      <c r="H47" s="9"/>
      <c r="I47" s="8"/>
      <c r="AG47" s="5"/>
      <c r="AH47" s="5"/>
      <c r="AI47" s="5"/>
      <c r="AJ47" s="5"/>
      <c r="AK47" s="12"/>
      <c r="AL47" s="11"/>
      <c r="AM47" s="12"/>
      <c r="AN47" s="5"/>
      <c r="AO47" s="5"/>
      <c r="AP47" s="5"/>
      <c r="AQ47" s="5"/>
      <c r="AR47" s="12"/>
      <c r="AS47" s="11"/>
      <c r="AT47" s="12"/>
      <c r="AU47" s="12"/>
    </row>
    <row r="48" spans="2:56" x14ac:dyDescent="0.15">
      <c r="B48" s="7"/>
      <c r="C48" s="6"/>
      <c r="D48" s="7"/>
      <c r="E48" s="6"/>
      <c r="F48" s="7"/>
      <c r="G48" s="6" t="s">
        <v>3</v>
      </c>
      <c r="H48" s="7"/>
      <c r="I48" s="6"/>
      <c r="AG48" s="5"/>
      <c r="AH48" s="5"/>
      <c r="AI48" s="5"/>
      <c r="AJ48" s="5"/>
      <c r="AK48" s="12"/>
      <c r="AL48" s="11"/>
      <c r="AM48" s="12"/>
      <c r="AN48" s="5"/>
      <c r="AO48" s="5"/>
      <c r="AP48" s="5"/>
      <c r="AQ48" s="5"/>
      <c r="AR48" s="12"/>
      <c r="AS48" s="11"/>
      <c r="AT48" s="12"/>
      <c r="AU48" s="12"/>
    </row>
    <row r="49" spans="2:47" x14ac:dyDescent="0.15">
      <c r="B49" s="9"/>
      <c r="C49" s="8"/>
      <c r="D49" s="9" t="s">
        <v>3</v>
      </c>
      <c r="E49" s="8"/>
      <c r="F49" s="9"/>
      <c r="G49" s="8" t="s">
        <v>3</v>
      </c>
      <c r="H49" s="9"/>
      <c r="I49" s="8"/>
      <c r="AG49" s="5"/>
      <c r="AH49" s="5"/>
      <c r="AI49" s="5"/>
      <c r="AJ49" s="5"/>
      <c r="AK49" s="12"/>
      <c r="AL49" s="11"/>
      <c r="AM49" s="12"/>
      <c r="AN49" s="5"/>
      <c r="AO49" s="5"/>
      <c r="AP49" s="5"/>
      <c r="AQ49" s="5"/>
      <c r="AR49" s="12"/>
      <c r="AS49" s="11"/>
      <c r="AT49" s="12"/>
      <c r="AU49" s="12"/>
    </row>
    <row r="50" spans="2:47" x14ac:dyDescent="0.15">
      <c r="B50" s="7"/>
      <c r="C50" s="6"/>
      <c r="D50" s="7"/>
      <c r="E50" s="6" t="s">
        <v>3</v>
      </c>
      <c r="F50" s="7" t="s">
        <v>3</v>
      </c>
      <c r="G50" s="6"/>
      <c r="H50" s="7"/>
      <c r="I50" s="6"/>
      <c r="J50" s="10"/>
      <c r="K50" s="10"/>
      <c r="L50" s="10"/>
      <c r="M50" s="10"/>
      <c r="N50" s="10"/>
      <c r="O50" s="10"/>
      <c r="P50" s="10"/>
      <c r="Q50" s="10"/>
      <c r="AG50" s="5"/>
      <c r="AH50" s="5"/>
      <c r="AI50" s="5"/>
      <c r="AJ50" s="5"/>
      <c r="AK50" s="12"/>
      <c r="AL50" s="12"/>
      <c r="AM50" s="12"/>
      <c r="AN50" s="5"/>
      <c r="AO50" s="5"/>
      <c r="AP50" s="5"/>
      <c r="AQ50" s="5"/>
      <c r="AR50" s="12"/>
      <c r="AS50" s="12"/>
      <c r="AT50" s="12"/>
      <c r="AU50" s="12"/>
    </row>
    <row r="51" spans="2:47" x14ac:dyDescent="0.15"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G51" s="5"/>
      <c r="AH51" s="5"/>
      <c r="AI51" s="5"/>
      <c r="AJ51" s="5"/>
      <c r="AK51" s="12"/>
      <c r="AL51" s="12"/>
      <c r="AM51" s="12"/>
      <c r="AN51" s="5"/>
      <c r="AO51" s="5"/>
      <c r="AP51" s="5"/>
      <c r="AQ51" s="5"/>
      <c r="AR51" s="12"/>
      <c r="AS51" s="12"/>
      <c r="AT51" s="12"/>
      <c r="AU51" s="12"/>
    </row>
    <row r="52" spans="2:47" x14ac:dyDescent="0.15">
      <c r="J52" s="10"/>
      <c r="K52" s="10"/>
      <c r="L52" s="10"/>
      <c r="M52" s="10"/>
      <c r="N52" s="10"/>
      <c r="O52" s="10"/>
      <c r="P52" s="10"/>
      <c r="Q52" s="10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</row>
    <row r="53" spans="2:47" x14ac:dyDescent="0.15">
      <c r="J53" s="10"/>
      <c r="K53" s="10"/>
      <c r="L53" s="10"/>
      <c r="M53" s="10"/>
      <c r="N53" s="10"/>
      <c r="O53" s="10"/>
      <c r="P53" s="10"/>
      <c r="Q53" s="10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</row>
    <row r="54" spans="2:47" x14ac:dyDescent="0.15">
      <c r="J54" s="10"/>
      <c r="K54" s="10"/>
      <c r="L54" s="10"/>
      <c r="M54" s="10"/>
      <c r="N54" s="10"/>
      <c r="O54" s="10"/>
      <c r="P54" s="10"/>
      <c r="Q54" s="10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</row>
    <row r="55" spans="2:47" x14ac:dyDescent="0.15">
      <c r="J55" s="10"/>
      <c r="K55" s="10"/>
      <c r="L55" s="10"/>
      <c r="M55" s="10"/>
      <c r="N55" s="10"/>
      <c r="O55" s="10"/>
      <c r="P55" s="10"/>
      <c r="Q55" s="10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</row>
    <row r="56" spans="2:47" x14ac:dyDescent="0.15">
      <c r="J56" s="10"/>
      <c r="K56" s="10"/>
      <c r="L56" s="10"/>
      <c r="M56" s="10"/>
      <c r="N56" s="10"/>
      <c r="O56" s="10"/>
      <c r="P56" s="10"/>
      <c r="Q56" s="10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</row>
    <row r="57" spans="2:47" x14ac:dyDescent="0.15">
      <c r="J57" s="10"/>
      <c r="K57" s="10"/>
      <c r="L57" s="10"/>
      <c r="M57" s="10"/>
      <c r="N57" s="10"/>
      <c r="O57" s="10"/>
      <c r="P57" s="10"/>
      <c r="Q57" s="10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</row>
    <row r="58" spans="2:47" x14ac:dyDescent="0.15">
      <c r="J58" s="10"/>
      <c r="K58" s="10"/>
      <c r="L58" s="5"/>
      <c r="M58" s="10"/>
      <c r="N58" s="10"/>
      <c r="O58" s="10"/>
      <c r="P58" s="10"/>
      <c r="Q58" s="10"/>
      <c r="AG58" s="12"/>
      <c r="AH58" s="12"/>
      <c r="AI58" s="12"/>
      <c r="AJ58" s="12"/>
      <c r="AK58" s="12"/>
      <c r="AL58" s="12"/>
      <c r="AM58" s="12"/>
    </row>
    <row r="59" spans="2:47" x14ac:dyDescent="0.15">
      <c r="J59" s="10"/>
      <c r="K59" s="10"/>
      <c r="L59" s="10"/>
      <c r="M59" s="10"/>
      <c r="N59" s="10"/>
      <c r="O59" s="10"/>
      <c r="P59" s="10"/>
      <c r="Q59" s="10"/>
      <c r="AG59" s="12"/>
      <c r="AH59" s="12"/>
      <c r="AI59" s="12"/>
      <c r="AJ59" s="12"/>
      <c r="AK59" s="12"/>
      <c r="AL59" s="12"/>
      <c r="AM59" s="12"/>
    </row>
    <row r="60" spans="2:47" x14ac:dyDescent="0.15">
      <c r="J60" s="10"/>
      <c r="K60" s="10"/>
      <c r="L60" s="10"/>
      <c r="M60" s="10"/>
      <c r="N60" s="10"/>
      <c r="O60" s="10"/>
      <c r="P60" s="10"/>
      <c r="Q60" s="10"/>
      <c r="AG60" s="12"/>
      <c r="AH60" s="12"/>
      <c r="AI60" s="12"/>
      <c r="AJ60" s="12"/>
      <c r="AK60" s="12"/>
      <c r="AL60" s="12"/>
      <c r="AM60" s="12"/>
    </row>
    <row r="61" spans="2:47" x14ac:dyDescent="0.15">
      <c r="J61" s="10"/>
      <c r="K61" s="10"/>
      <c r="L61" s="10"/>
      <c r="M61" s="10"/>
      <c r="N61" s="10"/>
      <c r="O61" s="10"/>
      <c r="P61" s="10"/>
      <c r="Q61" s="10"/>
      <c r="AG61" s="12"/>
      <c r="AH61" s="12"/>
      <c r="AI61" s="12"/>
      <c r="AJ61" s="12"/>
      <c r="AK61" s="12"/>
      <c r="AL61" s="12"/>
      <c r="AM61" s="12"/>
    </row>
    <row r="62" spans="2:47" x14ac:dyDescent="0.15">
      <c r="J62" s="10"/>
      <c r="K62" s="10"/>
      <c r="L62" s="10"/>
      <c r="M62" s="10"/>
      <c r="N62" s="10"/>
      <c r="O62" s="10"/>
      <c r="P62" s="10"/>
      <c r="Q62" s="10"/>
      <c r="AG62" s="12"/>
      <c r="AH62" s="12"/>
      <c r="AI62" s="12"/>
      <c r="AJ62" s="12"/>
      <c r="AK62" s="12"/>
      <c r="AL62" s="12"/>
      <c r="AM62" s="12"/>
    </row>
    <row r="63" spans="2:47" x14ac:dyDescent="0.15">
      <c r="J63" s="10"/>
      <c r="K63" s="10"/>
      <c r="L63" s="10"/>
      <c r="M63" s="10"/>
      <c r="N63" s="10"/>
      <c r="O63" s="10"/>
      <c r="P63" s="10"/>
      <c r="Q63" s="10"/>
      <c r="AG63" s="12"/>
      <c r="AH63" s="12"/>
      <c r="AI63" s="12"/>
      <c r="AJ63" s="12"/>
      <c r="AK63" s="12"/>
      <c r="AL63" s="12"/>
      <c r="AM63" s="12"/>
    </row>
    <row r="64" spans="2:47" x14ac:dyDescent="0.15">
      <c r="J64" s="10"/>
      <c r="K64" s="10"/>
      <c r="L64" s="5"/>
      <c r="M64" s="10"/>
      <c r="N64" s="10"/>
      <c r="O64" s="10"/>
      <c r="P64" s="10"/>
      <c r="Q64" s="10"/>
      <c r="AG64" s="12"/>
      <c r="AH64" s="12"/>
      <c r="AI64" s="12"/>
      <c r="AJ64" s="12"/>
      <c r="AK64" s="12"/>
      <c r="AL64" s="12"/>
      <c r="AM64" s="12"/>
    </row>
    <row r="65" spans="10:39" x14ac:dyDescent="0.15">
      <c r="J65" s="10"/>
      <c r="K65" s="10"/>
      <c r="L65" s="10"/>
      <c r="M65" s="10"/>
      <c r="N65" s="10"/>
      <c r="O65" s="10"/>
      <c r="P65" s="10"/>
      <c r="Q65" s="10"/>
      <c r="AG65" s="12"/>
      <c r="AH65" s="12"/>
      <c r="AI65" s="12"/>
      <c r="AJ65" s="12"/>
      <c r="AK65" s="12"/>
      <c r="AL65" s="12"/>
      <c r="AM65" s="12"/>
    </row>
    <row r="66" spans="10:39" x14ac:dyDescent="0.15">
      <c r="J66" s="10"/>
      <c r="K66" s="10"/>
      <c r="L66" s="10"/>
      <c r="M66" s="10"/>
      <c r="N66" s="10"/>
      <c r="O66" s="10"/>
      <c r="P66" s="10"/>
      <c r="Q66" s="10"/>
      <c r="AG66" s="12"/>
      <c r="AH66" s="12"/>
      <c r="AI66" s="12"/>
      <c r="AJ66" s="12"/>
      <c r="AK66" s="12"/>
      <c r="AL66" s="12"/>
      <c r="AM66" s="12"/>
    </row>
    <row r="67" spans="10:39" x14ac:dyDescent="0.15">
      <c r="J67" s="10"/>
      <c r="K67" s="10"/>
      <c r="L67" s="10"/>
      <c r="M67" s="10"/>
      <c r="N67" s="10"/>
      <c r="O67" s="10"/>
      <c r="P67" s="10"/>
      <c r="Q67" s="10"/>
      <c r="AG67" s="12"/>
      <c r="AH67" s="12"/>
      <c r="AI67" s="12"/>
      <c r="AJ67" s="12"/>
      <c r="AK67" s="12"/>
      <c r="AL67" s="12"/>
      <c r="AM67" s="12"/>
    </row>
    <row r="68" spans="10:39" x14ac:dyDescent="0.15">
      <c r="J68" s="10"/>
      <c r="K68" s="10"/>
      <c r="L68" s="10"/>
      <c r="M68" s="10"/>
      <c r="N68" s="10"/>
      <c r="O68" s="10"/>
      <c r="P68" s="10"/>
      <c r="Q68" s="10"/>
      <c r="AG68" s="12"/>
      <c r="AH68" s="12"/>
      <c r="AI68" s="12"/>
      <c r="AJ68" s="12"/>
      <c r="AK68" s="12"/>
      <c r="AL68" s="12"/>
      <c r="AM68" s="12"/>
    </row>
    <row r="69" spans="10:39" x14ac:dyDescent="0.15">
      <c r="J69" s="10"/>
      <c r="K69" s="10"/>
      <c r="L69" s="10"/>
      <c r="M69" s="10"/>
      <c r="N69" s="10"/>
      <c r="O69" s="10"/>
      <c r="P69" s="10"/>
      <c r="Q69" s="10"/>
      <c r="AG69" s="12"/>
      <c r="AH69" s="12"/>
      <c r="AI69" s="12"/>
      <c r="AJ69" s="12"/>
      <c r="AK69" s="12"/>
      <c r="AL69" s="12"/>
      <c r="AM69" s="12"/>
    </row>
    <row r="70" spans="10:39" x14ac:dyDescent="0.15">
      <c r="J70" s="10"/>
      <c r="K70" s="10"/>
      <c r="L70" s="10"/>
      <c r="M70" s="10"/>
      <c r="N70" s="10"/>
      <c r="O70" s="10"/>
      <c r="P70" s="10"/>
      <c r="Q70" s="10"/>
      <c r="AG70" s="12"/>
      <c r="AH70" s="12"/>
      <c r="AI70" s="12"/>
      <c r="AJ70" s="12"/>
      <c r="AK70" s="12"/>
      <c r="AL70" s="12"/>
      <c r="AM70" s="12"/>
    </row>
    <row r="71" spans="10:39" x14ac:dyDescent="0.15">
      <c r="J71" s="10"/>
      <c r="K71" s="10"/>
      <c r="L71" s="10"/>
      <c r="M71" s="10"/>
      <c r="N71" s="10"/>
      <c r="O71" s="10"/>
      <c r="P71" s="10"/>
      <c r="Q71" s="10"/>
      <c r="AG71" s="12"/>
      <c r="AH71" s="12"/>
      <c r="AI71" s="12"/>
      <c r="AJ71" s="12"/>
      <c r="AK71" s="12"/>
      <c r="AL71" s="12"/>
      <c r="AM71" s="12"/>
    </row>
    <row r="72" spans="10:39" x14ac:dyDescent="0.15">
      <c r="J72" s="10"/>
      <c r="K72" s="10"/>
      <c r="L72" s="10"/>
      <c r="M72" s="10"/>
      <c r="N72" s="10"/>
      <c r="O72" s="10"/>
      <c r="P72" s="10"/>
      <c r="Q72" s="10"/>
      <c r="AG72" s="12"/>
      <c r="AH72" s="12"/>
      <c r="AI72" s="12"/>
      <c r="AJ72" s="12"/>
      <c r="AK72" s="12"/>
      <c r="AL72" s="12"/>
      <c r="AM72" s="12"/>
    </row>
    <row r="73" spans="10:39" x14ac:dyDescent="0.15">
      <c r="J73" s="10"/>
      <c r="K73" s="10"/>
      <c r="L73" s="10"/>
      <c r="M73" s="10"/>
      <c r="N73" s="10"/>
      <c r="O73" s="10"/>
      <c r="P73" s="10"/>
      <c r="Q73" s="10"/>
      <c r="AG73" s="12"/>
      <c r="AH73" s="12"/>
      <c r="AI73" s="12"/>
      <c r="AJ73" s="12"/>
      <c r="AK73" s="12"/>
      <c r="AL73" s="12"/>
      <c r="AM73" s="12"/>
    </row>
    <row r="74" spans="10:39" x14ac:dyDescent="0.15">
      <c r="J74" s="10"/>
      <c r="K74" s="10"/>
      <c r="L74" s="10"/>
      <c r="M74" s="10"/>
      <c r="N74" s="10"/>
      <c r="O74" s="10"/>
      <c r="P74" s="10"/>
      <c r="Q74" s="10"/>
      <c r="AG74" s="12"/>
      <c r="AH74" s="12"/>
      <c r="AI74" s="12"/>
      <c r="AJ74" s="12"/>
      <c r="AK74" s="12"/>
      <c r="AL74" s="12"/>
      <c r="AM74" s="12"/>
    </row>
    <row r="75" spans="10:39" x14ac:dyDescent="0.15">
      <c r="J75" s="10"/>
      <c r="K75" s="10"/>
      <c r="L75" s="10"/>
      <c r="M75" s="10"/>
      <c r="N75" s="10"/>
      <c r="O75" s="10"/>
      <c r="P75" s="10"/>
      <c r="Q75" s="10"/>
      <c r="AG75" s="12"/>
      <c r="AH75" s="12"/>
      <c r="AI75" s="12"/>
      <c r="AJ75" s="12"/>
      <c r="AK75" s="12"/>
      <c r="AL75" s="12"/>
      <c r="AM75" s="12"/>
    </row>
    <row r="76" spans="10:39" x14ac:dyDescent="0.15"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G76" s="12"/>
      <c r="AH76" s="12"/>
      <c r="AI76" s="12"/>
      <c r="AJ76" s="12"/>
      <c r="AK76" s="12"/>
      <c r="AL76" s="12"/>
      <c r="AM76" s="12"/>
    </row>
    <row r="77" spans="10:39" x14ac:dyDescent="0.15">
      <c r="J77" s="10"/>
      <c r="K77" s="10"/>
      <c r="L77" s="10"/>
      <c r="M77" s="10"/>
      <c r="N77" s="10"/>
      <c r="O77" s="10"/>
      <c r="P77" s="10"/>
      <c r="Q77" s="10"/>
      <c r="AG77" s="12"/>
      <c r="AH77" s="12"/>
      <c r="AI77" s="12"/>
      <c r="AJ77" s="12"/>
      <c r="AK77" s="12"/>
      <c r="AL77" s="12"/>
      <c r="AM77" s="12"/>
    </row>
    <row r="78" spans="10:39" x14ac:dyDescent="0.15">
      <c r="J78" s="10"/>
      <c r="K78" s="10"/>
      <c r="L78" s="10"/>
      <c r="M78" s="10"/>
      <c r="N78" s="10"/>
      <c r="O78" s="10"/>
      <c r="P78" s="10"/>
      <c r="Q78" s="10"/>
      <c r="AG78" s="12"/>
      <c r="AH78" s="12"/>
      <c r="AI78" s="12"/>
      <c r="AJ78" s="12"/>
      <c r="AK78" s="12"/>
      <c r="AL78" s="12"/>
      <c r="AM78" s="12"/>
    </row>
    <row r="79" spans="10:39" x14ac:dyDescent="0.15">
      <c r="J79" s="10"/>
      <c r="K79" s="10"/>
      <c r="L79" s="10"/>
      <c r="M79" s="10"/>
      <c r="N79" s="10"/>
      <c r="O79" s="10"/>
      <c r="P79" s="10"/>
      <c r="Q79" s="10"/>
      <c r="AG79" s="12"/>
      <c r="AH79" s="12"/>
      <c r="AI79" s="12"/>
      <c r="AJ79" s="12"/>
      <c r="AK79" s="12"/>
      <c r="AL79" s="12"/>
      <c r="AM79" s="12"/>
    </row>
    <row r="80" spans="10:39" x14ac:dyDescent="0.15">
      <c r="J80" s="10"/>
      <c r="K80" s="10"/>
      <c r="L80" s="10"/>
      <c r="M80" s="10"/>
      <c r="N80" s="10"/>
      <c r="O80" s="10"/>
      <c r="P80" s="10"/>
      <c r="Q80" s="10"/>
      <c r="AG80" s="12"/>
      <c r="AH80" s="12"/>
      <c r="AI80" s="12"/>
      <c r="AJ80" s="12"/>
      <c r="AK80" s="12"/>
      <c r="AL80" s="12"/>
      <c r="AM80" s="12"/>
    </row>
    <row r="81" spans="10:17" x14ac:dyDescent="0.15">
      <c r="J81" s="10"/>
      <c r="K81" s="10"/>
      <c r="L81" s="10"/>
      <c r="M81" s="10"/>
      <c r="N81" s="10"/>
      <c r="O81" s="10"/>
      <c r="P81" s="10"/>
      <c r="Q81" s="10"/>
    </row>
    <row r="82" spans="10:17" x14ac:dyDescent="0.15">
      <c r="J82" s="10"/>
      <c r="K82" s="10"/>
      <c r="L82" s="10"/>
      <c r="M82" s="10"/>
      <c r="N82" s="10"/>
      <c r="O82" s="10"/>
      <c r="P82" s="10"/>
      <c r="Q82" s="10"/>
    </row>
    <row r="83" spans="10:17" x14ac:dyDescent="0.15">
      <c r="J83" s="10"/>
      <c r="K83" s="10"/>
      <c r="L83" s="10"/>
      <c r="M83" s="10"/>
      <c r="N83" s="10"/>
      <c r="O83" s="10"/>
      <c r="P83" s="10"/>
      <c r="Q83" s="10"/>
    </row>
    <row r="84" spans="10:17" x14ac:dyDescent="0.15">
      <c r="J84" s="10"/>
      <c r="K84" s="10"/>
      <c r="L84" s="10"/>
      <c r="M84" s="10"/>
      <c r="N84" s="10"/>
      <c r="O84" s="10"/>
      <c r="P84" s="10"/>
      <c r="Q84" s="10"/>
    </row>
    <row r="85" spans="10:17" x14ac:dyDescent="0.15">
      <c r="J85" s="10"/>
      <c r="K85" s="10"/>
      <c r="L85" s="10"/>
      <c r="M85" s="10"/>
      <c r="N85" s="10"/>
      <c r="O85" s="10"/>
      <c r="P85" s="10"/>
      <c r="Q85" s="10"/>
    </row>
    <row r="86" spans="10:17" x14ac:dyDescent="0.15">
      <c r="J86" s="10"/>
      <c r="K86" s="10"/>
      <c r="L86" s="10"/>
      <c r="M86" s="10"/>
      <c r="N86" s="10"/>
      <c r="O86" s="10"/>
      <c r="P86" s="10"/>
      <c r="Q86" s="10"/>
    </row>
    <row r="87" spans="10:17" x14ac:dyDescent="0.15">
      <c r="J87" s="10"/>
      <c r="K87" s="10"/>
      <c r="L87" s="10"/>
      <c r="M87" s="10"/>
      <c r="N87" s="10"/>
      <c r="O87" s="10"/>
      <c r="P87" s="10"/>
      <c r="Q87" s="10"/>
    </row>
    <row r="88" spans="10:17" x14ac:dyDescent="0.15">
      <c r="J88" s="10"/>
      <c r="K88" s="10"/>
      <c r="L88" s="10"/>
      <c r="M88" s="10"/>
      <c r="N88" s="10"/>
      <c r="O88" s="10"/>
      <c r="P88" s="10"/>
      <c r="Q88" s="10"/>
    </row>
    <row r="89" spans="10:17" x14ac:dyDescent="0.15">
      <c r="J89" s="10"/>
      <c r="K89" s="10"/>
      <c r="L89" s="10"/>
      <c r="M89" s="10"/>
      <c r="N89" s="10"/>
      <c r="O89" s="10"/>
      <c r="P89" s="10"/>
      <c r="Q89" s="10"/>
    </row>
  </sheetData>
  <mergeCells count="88">
    <mergeCell ref="AS24:AS39"/>
    <mergeCell ref="AT24:AT39"/>
    <mergeCell ref="AX24:AX39"/>
    <mergeCell ref="AX23:AY23"/>
    <mergeCell ref="BC23:BD23"/>
    <mergeCell ref="AY24:AY39"/>
    <mergeCell ref="BC24:BC39"/>
    <mergeCell ref="BD24:BD39"/>
    <mergeCell ref="BA2:BD2"/>
    <mergeCell ref="BC3:BD3"/>
    <mergeCell ref="BC4:BC19"/>
    <mergeCell ref="BD4:BD19"/>
    <mergeCell ref="AG22:AJ22"/>
    <mergeCell ref="AL22:AO22"/>
    <mergeCell ref="AQ22:AT22"/>
    <mergeCell ref="AV22:AY22"/>
    <mergeCell ref="BA22:BD22"/>
    <mergeCell ref="AT4:AT19"/>
    <mergeCell ref="AV2:AY2"/>
    <mergeCell ref="AX3:AY3"/>
    <mergeCell ref="AX4:AX19"/>
    <mergeCell ref="AY4:AY19"/>
    <mergeCell ref="AI3:AJ3"/>
    <mergeCell ref="AI4:AI19"/>
    <mergeCell ref="N3:O3"/>
    <mergeCell ref="N4:N7"/>
    <mergeCell ref="O4:O7"/>
    <mergeCell ref="S3:T3"/>
    <mergeCell ref="S4:S7"/>
    <mergeCell ref="AD16:AD19"/>
    <mergeCell ref="T4:T7"/>
    <mergeCell ref="AC3:AD3"/>
    <mergeCell ref="AC4:AC7"/>
    <mergeCell ref="AD4:AD7"/>
    <mergeCell ref="AC16:AC19"/>
    <mergeCell ref="S15:T15"/>
    <mergeCell ref="S16:S19"/>
    <mergeCell ref="T16:T19"/>
    <mergeCell ref="Y10:Y13"/>
    <mergeCell ref="X3:Y3"/>
    <mergeCell ref="X4:X7"/>
    <mergeCell ref="Y4:Y7"/>
    <mergeCell ref="AC10:AC13"/>
    <mergeCell ref="AD10:AD13"/>
    <mergeCell ref="N15:O15"/>
    <mergeCell ref="AC15:AD15"/>
    <mergeCell ref="AC9:AD9"/>
    <mergeCell ref="N9:O9"/>
    <mergeCell ref="N16:N19"/>
    <mergeCell ref="S10:S13"/>
    <mergeCell ref="T10:T13"/>
    <mergeCell ref="X9:Y9"/>
    <mergeCell ref="X10:X13"/>
    <mergeCell ref="S9:T9"/>
    <mergeCell ref="X15:Y15"/>
    <mergeCell ref="X16:X19"/>
    <mergeCell ref="Y16:Y19"/>
    <mergeCell ref="N10:N13"/>
    <mergeCell ref="O10:O13"/>
    <mergeCell ref="O16:O19"/>
    <mergeCell ref="X22:X25"/>
    <mergeCell ref="Y22:Y25"/>
    <mergeCell ref="AC21:AD21"/>
    <mergeCell ref="AC22:AC25"/>
    <mergeCell ref="AD22:AD25"/>
    <mergeCell ref="X21:Y21"/>
    <mergeCell ref="N21:O21"/>
    <mergeCell ref="N22:N25"/>
    <mergeCell ref="O22:O25"/>
    <mergeCell ref="S21:T21"/>
    <mergeCell ref="S22:S25"/>
    <mergeCell ref="T22:T25"/>
    <mergeCell ref="AQ2:AT2"/>
    <mergeCell ref="AS3:AT3"/>
    <mergeCell ref="AI24:AI39"/>
    <mergeCell ref="AJ24:AJ39"/>
    <mergeCell ref="AS4:AS19"/>
    <mergeCell ref="AJ4:AJ19"/>
    <mergeCell ref="AG2:AJ2"/>
    <mergeCell ref="AL2:AO2"/>
    <mergeCell ref="AN3:AO3"/>
    <mergeCell ref="AN4:AN19"/>
    <mergeCell ref="AO4:AO19"/>
    <mergeCell ref="AI23:AJ23"/>
    <mergeCell ref="AN23:AO23"/>
    <mergeCell ref="AS23:AT23"/>
    <mergeCell ref="AN24:AN39"/>
    <mergeCell ref="AO24:AO39"/>
  </mergeCells>
  <phoneticPr fontId="1"/>
  <conditionalFormatting sqref="L4">
    <cfRule type="cellIs" dxfId="89" priority="105" operator="equal">
      <formula>1</formula>
    </cfRule>
  </conditionalFormatting>
  <conditionalFormatting sqref="L4:L7">
    <cfRule type="cellIs" dxfId="88" priority="104" operator="equal">
      <formula>1</formula>
    </cfRule>
  </conditionalFormatting>
  <conditionalFormatting sqref="O4:O7">
    <cfRule type="cellIs" dxfId="87" priority="103" operator="equal">
      <formula>1</formula>
    </cfRule>
  </conditionalFormatting>
  <conditionalFormatting sqref="L10">
    <cfRule type="cellIs" dxfId="86" priority="102" operator="equal">
      <formula>1</formula>
    </cfRule>
  </conditionalFormatting>
  <conditionalFormatting sqref="L10:L13">
    <cfRule type="cellIs" dxfId="85" priority="101" operator="equal">
      <formula>1</formula>
    </cfRule>
  </conditionalFormatting>
  <conditionalFormatting sqref="O10:O13">
    <cfRule type="cellIs" dxfId="84" priority="100" operator="equal">
      <formula>1</formula>
    </cfRule>
  </conditionalFormatting>
  <conditionalFormatting sqref="L16">
    <cfRule type="cellIs" dxfId="83" priority="99" operator="equal">
      <formula>1</formula>
    </cfRule>
  </conditionalFormatting>
  <conditionalFormatting sqref="L16:L19">
    <cfRule type="cellIs" dxfId="82" priority="98" operator="equal">
      <formula>1</formula>
    </cfRule>
  </conditionalFormatting>
  <conditionalFormatting sqref="O16:O19">
    <cfRule type="cellIs" dxfId="81" priority="97" operator="equal">
      <formula>1</formula>
    </cfRule>
  </conditionalFormatting>
  <conditionalFormatting sqref="L22">
    <cfRule type="cellIs" dxfId="80" priority="96" operator="equal">
      <formula>1</formula>
    </cfRule>
  </conditionalFormatting>
  <conditionalFormatting sqref="L22:L25">
    <cfRule type="cellIs" dxfId="79" priority="95" operator="equal">
      <formula>1</formula>
    </cfRule>
  </conditionalFormatting>
  <conditionalFormatting sqref="O22:O25">
    <cfRule type="cellIs" dxfId="78" priority="94" operator="equal">
      <formula>1</formula>
    </cfRule>
  </conditionalFormatting>
  <conditionalFormatting sqref="Q4">
    <cfRule type="cellIs" dxfId="77" priority="93" operator="equal">
      <formula>1</formula>
    </cfRule>
  </conditionalFormatting>
  <conditionalFormatting sqref="Q4:Q7">
    <cfRule type="cellIs" dxfId="76" priority="92" operator="equal">
      <formula>1</formula>
    </cfRule>
  </conditionalFormatting>
  <conditionalFormatting sqref="T4:T7">
    <cfRule type="cellIs" dxfId="75" priority="91" operator="equal">
      <formula>1</formula>
    </cfRule>
  </conditionalFormatting>
  <conditionalFormatting sqref="Q10">
    <cfRule type="cellIs" dxfId="74" priority="90" operator="equal">
      <formula>1</formula>
    </cfRule>
  </conditionalFormatting>
  <conditionalFormatting sqref="Q10:Q13">
    <cfRule type="cellIs" dxfId="73" priority="89" operator="equal">
      <formula>1</formula>
    </cfRule>
  </conditionalFormatting>
  <conditionalFormatting sqref="T10:T13">
    <cfRule type="cellIs" dxfId="72" priority="88" operator="equal">
      <formula>1</formula>
    </cfRule>
  </conditionalFormatting>
  <conditionalFormatting sqref="Q16">
    <cfRule type="cellIs" dxfId="71" priority="87" operator="equal">
      <formula>1</formula>
    </cfRule>
  </conditionalFormatting>
  <conditionalFormatting sqref="Q16:Q19">
    <cfRule type="cellIs" dxfId="70" priority="86" operator="equal">
      <formula>1</formula>
    </cfRule>
  </conditionalFormatting>
  <conditionalFormatting sqref="T16:T19">
    <cfRule type="cellIs" dxfId="69" priority="85" operator="equal">
      <formula>1</formula>
    </cfRule>
  </conditionalFormatting>
  <conditionalFormatting sqref="Q22">
    <cfRule type="cellIs" dxfId="68" priority="84" operator="equal">
      <formula>1</formula>
    </cfRule>
  </conditionalFormatting>
  <conditionalFormatting sqref="Q22:Q25">
    <cfRule type="cellIs" dxfId="67" priority="83" operator="equal">
      <formula>1</formula>
    </cfRule>
  </conditionalFormatting>
  <conditionalFormatting sqref="T22:T25">
    <cfRule type="cellIs" dxfId="66" priority="82" operator="equal">
      <formula>1</formula>
    </cfRule>
  </conditionalFormatting>
  <conditionalFormatting sqref="V4">
    <cfRule type="cellIs" dxfId="65" priority="81" operator="equal">
      <formula>1</formula>
    </cfRule>
  </conditionalFormatting>
  <conditionalFormatting sqref="V4:V7">
    <cfRule type="cellIs" dxfId="64" priority="80" operator="equal">
      <formula>1</formula>
    </cfRule>
  </conditionalFormatting>
  <conditionalFormatting sqref="Y4:Y7">
    <cfRule type="cellIs" dxfId="63" priority="79" operator="equal">
      <formula>1</formula>
    </cfRule>
  </conditionalFormatting>
  <conditionalFormatting sqref="V10">
    <cfRule type="cellIs" dxfId="62" priority="78" operator="equal">
      <formula>1</formula>
    </cfRule>
  </conditionalFormatting>
  <conditionalFormatting sqref="V10:V13">
    <cfRule type="cellIs" dxfId="61" priority="77" operator="equal">
      <formula>1</formula>
    </cfRule>
  </conditionalFormatting>
  <conditionalFormatting sqref="Y10:Y13">
    <cfRule type="cellIs" dxfId="60" priority="76" operator="equal">
      <formula>1</formula>
    </cfRule>
  </conditionalFormatting>
  <conditionalFormatting sqref="V16">
    <cfRule type="cellIs" dxfId="59" priority="75" operator="equal">
      <formula>1</formula>
    </cfRule>
  </conditionalFormatting>
  <conditionalFormatting sqref="V16:V19">
    <cfRule type="cellIs" dxfId="58" priority="74" operator="equal">
      <formula>1</formula>
    </cfRule>
  </conditionalFormatting>
  <conditionalFormatting sqref="Y16:Y19">
    <cfRule type="cellIs" dxfId="57" priority="73" operator="equal">
      <formula>1</formula>
    </cfRule>
  </conditionalFormatting>
  <conditionalFormatting sqref="V22">
    <cfRule type="cellIs" dxfId="56" priority="72" operator="equal">
      <formula>1</formula>
    </cfRule>
  </conditionalFormatting>
  <conditionalFormatting sqref="V22:V25">
    <cfRule type="cellIs" dxfId="55" priority="71" operator="equal">
      <formula>1</formula>
    </cfRule>
  </conditionalFormatting>
  <conditionalFormatting sqref="Y22:Y25">
    <cfRule type="cellIs" dxfId="54" priority="70" operator="equal">
      <formula>1</formula>
    </cfRule>
  </conditionalFormatting>
  <conditionalFormatting sqref="AA4">
    <cfRule type="cellIs" dxfId="53" priority="69" operator="equal">
      <formula>1</formula>
    </cfRule>
  </conditionalFormatting>
  <conditionalFormatting sqref="AA4:AA7">
    <cfRule type="cellIs" dxfId="52" priority="68" operator="equal">
      <formula>1</formula>
    </cfRule>
  </conditionalFormatting>
  <conditionalFormatting sqref="AD4:AD7">
    <cfRule type="cellIs" dxfId="51" priority="67" operator="equal">
      <formula>1</formula>
    </cfRule>
  </conditionalFormatting>
  <conditionalFormatting sqref="AA10">
    <cfRule type="cellIs" dxfId="50" priority="66" operator="equal">
      <formula>1</formula>
    </cfRule>
  </conditionalFormatting>
  <conditionalFormatting sqref="AA10:AA13">
    <cfRule type="cellIs" dxfId="49" priority="65" operator="equal">
      <formula>1</formula>
    </cfRule>
  </conditionalFormatting>
  <conditionalFormatting sqref="AD10:AD13">
    <cfRule type="cellIs" dxfId="48" priority="64" operator="equal">
      <formula>1</formula>
    </cfRule>
  </conditionalFormatting>
  <conditionalFormatting sqref="AA16">
    <cfRule type="cellIs" dxfId="47" priority="63" operator="equal">
      <formula>1</formula>
    </cfRule>
  </conditionalFormatting>
  <conditionalFormatting sqref="AA16:AA19">
    <cfRule type="cellIs" dxfId="46" priority="62" operator="equal">
      <formula>1</formula>
    </cfRule>
  </conditionalFormatting>
  <conditionalFormatting sqref="AD16:AD19">
    <cfRule type="cellIs" dxfId="45" priority="61" operator="equal">
      <formula>1</formula>
    </cfRule>
  </conditionalFormatting>
  <conditionalFormatting sqref="AA22">
    <cfRule type="cellIs" dxfId="44" priority="60" operator="equal">
      <formula>1</formula>
    </cfRule>
  </conditionalFormatting>
  <conditionalFormatting sqref="AA22:AA25">
    <cfRule type="cellIs" dxfId="43" priority="59" operator="equal">
      <formula>1</formula>
    </cfRule>
  </conditionalFormatting>
  <conditionalFormatting sqref="AD22:AD25">
    <cfRule type="cellIs" dxfId="42" priority="58" operator="equal">
      <formula>1</formula>
    </cfRule>
  </conditionalFormatting>
  <conditionalFormatting sqref="AG4:AG11">
    <cfRule type="cellIs" dxfId="41" priority="57" operator="equal">
      <formula>1</formula>
    </cfRule>
  </conditionalFormatting>
  <conditionalFormatting sqref="AJ4:AJ11">
    <cfRule type="cellIs" dxfId="40" priority="56" operator="equal">
      <formula>1</formula>
    </cfRule>
  </conditionalFormatting>
  <conditionalFormatting sqref="AG20:AG21">
    <cfRule type="cellIs" dxfId="39" priority="55" operator="equal">
      <formula>1</formula>
    </cfRule>
  </conditionalFormatting>
  <conditionalFormatting sqref="AJ20:AJ21">
    <cfRule type="cellIs" dxfId="38" priority="54" operator="equal">
      <formula>1</formula>
    </cfRule>
  </conditionalFormatting>
  <conditionalFormatting sqref="AG40:AG41">
    <cfRule type="cellIs" dxfId="37" priority="51" operator="equal">
      <formula>1</formula>
    </cfRule>
  </conditionalFormatting>
  <conditionalFormatting sqref="AJ40:AJ41">
    <cfRule type="cellIs" dxfId="36" priority="50" operator="equal">
      <formula>1</formula>
    </cfRule>
  </conditionalFormatting>
  <conditionalFormatting sqref="AG44:AG51">
    <cfRule type="cellIs" dxfId="35" priority="49" operator="equal">
      <formula>1</formula>
    </cfRule>
  </conditionalFormatting>
  <conditionalFormatting sqref="AJ44:AJ51">
    <cfRule type="cellIs" dxfId="34" priority="48" operator="equal">
      <formula>1</formula>
    </cfRule>
  </conditionalFormatting>
  <conditionalFormatting sqref="AN20:AN21">
    <cfRule type="cellIs" dxfId="33" priority="45" operator="equal">
      <formula>1</formula>
    </cfRule>
  </conditionalFormatting>
  <conditionalFormatting sqref="AQ20:AQ21">
    <cfRule type="cellIs" dxfId="32" priority="44" operator="equal">
      <formula>1</formula>
    </cfRule>
  </conditionalFormatting>
  <conditionalFormatting sqref="AN40:AN41">
    <cfRule type="cellIs" dxfId="31" priority="41" operator="equal">
      <formula>1</formula>
    </cfRule>
  </conditionalFormatting>
  <conditionalFormatting sqref="AQ40:AQ41">
    <cfRule type="cellIs" dxfId="30" priority="40" operator="equal">
      <formula>1</formula>
    </cfRule>
  </conditionalFormatting>
  <conditionalFormatting sqref="AN44:AN51">
    <cfRule type="cellIs" dxfId="29" priority="39" operator="equal">
      <formula>1</formula>
    </cfRule>
  </conditionalFormatting>
  <conditionalFormatting sqref="AQ44:AQ51">
    <cfRule type="cellIs" dxfId="28" priority="38" operator="equal">
      <formula>1</formula>
    </cfRule>
  </conditionalFormatting>
  <conditionalFormatting sqref="AG12:AG19">
    <cfRule type="cellIs" dxfId="27" priority="37" operator="equal">
      <formula>1</formula>
    </cfRule>
  </conditionalFormatting>
  <conditionalFormatting sqref="AL4:AL11">
    <cfRule type="cellIs" dxfId="26" priority="36" operator="equal">
      <formula>1</formula>
    </cfRule>
  </conditionalFormatting>
  <conditionalFormatting sqref="AL12:AL19">
    <cfRule type="cellIs" dxfId="25" priority="34" operator="equal">
      <formula>1</formula>
    </cfRule>
  </conditionalFormatting>
  <conditionalFormatting sqref="AQ4:AQ11">
    <cfRule type="cellIs" dxfId="24" priority="33" operator="equal">
      <formula>1</formula>
    </cfRule>
  </conditionalFormatting>
  <conditionalFormatting sqref="AQ12:AQ19">
    <cfRule type="cellIs" dxfId="23" priority="31" operator="equal">
      <formula>1</formula>
    </cfRule>
  </conditionalFormatting>
  <conditionalFormatting sqref="AV4:AV11">
    <cfRule type="cellIs" dxfId="22" priority="30" operator="equal">
      <formula>1</formula>
    </cfRule>
  </conditionalFormatting>
  <conditionalFormatting sqref="AV12:AV19">
    <cfRule type="cellIs" dxfId="21" priority="28" operator="equal">
      <formula>1</formula>
    </cfRule>
  </conditionalFormatting>
  <conditionalFormatting sqref="BA4:BA11">
    <cfRule type="cellIs" dxfId="20" priority="27" operator="equal">
      <formula>1</formula>
    </cfRule>
  </conditionalFormatting>
  <conditionalFormatting sqref="BA12:BA19">
    <cfRule type="cellIs" dxfId="19" priority="25" operator="equal">
      <formula>1</formula>
    </cfRule>
  </conditionalFormatting>
  <conditionalFormatting sqref="AG24:AG31">
    <cfRule type="cellIs" dxfId="18" priority="24" operator="equal">
      <formula>1</formula>
    </cfRule>
  </conditionalFormatting>
  <conditionalFormatting sqref="AG32:AG39">
    <cfRule type="cellIs" dxfId="17" priority="22" operator="equal">
      <formula>1</formula>
    </cfRule>
  </conditionalFormatting>
  <conditionalFormatting sqref="AL24:AL31">
    <cfRule type="cellIs" dxfId="16" priority="21" operator="equal">
      <formula>1</formula>
    </cfRule>
  </conditionalFormatting>
  <conditionalFormatting sqref="AL32:AL39">
    <cfRule type="cellIs" dxfId="15" priority="19" operator="equal">
      <formula>1</formula>
    </cfRule>
  </conditionalFormatting>
  <conditionalFormatting sqref="AQ24:AQ31">
    <cfRule type="cellIs" dxfId="14" priority="18" operator="equal">
      <formula>1</formula>
    </cfRule>
  </conditionalFormatting>
  <conditionalFormatting sqref="AQ32:AQ39">
    <cfRule type="cellIs" dxfId="13" priority="16" operator="equal">
      <formula>1</formula>
    </cfRule>
  </conditionalFormatting>
  <conditionalFormatting sqref="AV24:AV31">
    <cfRule type="cellIs" dxfId="12" priority="15" operator="equal">
      <formula>1</formula>
    </cfRule>
  </conditionalFormatting>
  <conditionalFormatting sqref="AV32:AV39">
    <cfRule type="cellIs" dxfId="11" priority="13" operator="equal">
      <formula>1</formula>
    </cfRule>
  </conditionalFormatting>
  <conditionalFormatting sqref="BA24:BA31">
    <cfRule type="cellIs" dxfId="10" priority="12" operator="equal">
      <formula>1</formula>
    </cfRule>
  </conditionalFormatting>
  <conditionalFormatting sqref="BA32:BA39">
    <cfRule type="cellIs" dxfId="9" priority="10" operator="equal">
      <formula>1</formula>
    </cfRule>
  </conditionalFormatting>
  <conditionalFormatting sqref="AO4:AO11">
    <cfRule type="cellIs" dxfId="8" priority="9" operator="equal">
      <formula>1</formula>
    </cfRule>
  </conditionalFormatting>
  <conditionalFormatting sqref="AT4:AT11">
    <cfRule type="cellIs" dxfId="7" priority="8" operator="equal">
      <formula>1</formula>
    </cfRule>
  </conditionalFormatting>
  <conditionalFormatting sqref="AY4:AY11">
    <cfRule type="cellIs" dxfId="6" priority="7" operator="equal">
      <formula>1</formula>
    </cfRule>
  </conditionalFormatting>
  <conditionalFormatting sqref="BD4:BD11">
    <cfRule type="cellIs" dxfId="5" priority="6" operator="equal">
      <formula>1</formula>
    </cfRule>
  </conditionalFormatting>
  <conditionalFormatting sqref="AJ24:AJ31">
    <cfRule type="cellIs" dxfId="4" priority="5" operator="equal">
      <formula>1</formula>
    </cfRule>
  </conditionalFormatting>
  <conditionalFormatting sqref="AO24:AO31">
    <cfRule type="cellIs" dxfId="3" priority="4" operator="equal">
      <formula>1</formula>
    </cfRule>
  </conditionalFormatting>
  <conditionalFormatting sqref="AT24:AT31">
    <cfRule type="cellIs" dxfId="2" priority="3" operator="equal">
      <formula>1</formula>
    </cfRule>
  </conditionalFormatting>
  <conditionalFormatting sqref="AY24:AY31">
    <cfRule type="cellIs" dxfId="1" priority="2" operator="equal">
      <formula>1</formula>
    </cfRule>
  </conditionalFormatting>
  <conditionalFormatting sqref="BD24:BD31">
    <cfRule type="cellIs" dxfId="0" priority="1" operator="equal">
      <formula>1</formula>
    </cfRule>
  </conditionalFormatting>
  <dataValidations count="1">
    <dataValidation type="list" allowBlank="1" showInputMessage="1" showErrorMessage="1" sqref="B33:I40 B13:I20 B23:I30 B43:I50 B3:I10">
      <formula1>",●"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K0_Click">
                <anchor moveWithCells="1" sizeWithCells="1">
                  <from>
                    <xdr:col>34</xdr:col>
                    <xdr:colOff>0</xdr:colOff>
                    <xdr:row>19</xdr:row>
                    <xdr:rowOff>0</xdr:rowOff>
                  </from>
                  <to>
                    <xdr:col>35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K1_Click">
                <anchor moveWithCells="1" sizeWithCells="1">
                  <from>
                    <xdr:col>39</xdr:col>
                    <xdr:colOff>0</xdr:colOff>
                    <xdr:row>18</xdr:row>
                    <xdr:rowOff>161925</xdr:rowOff>
                  </from>
                  <to>
                    <xdr:col>40</xdr:col>
                    <xdr:colOff>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NG0_Click">
                <anchor moveWithCells="1" sizeWithCells="1">
                  <from>
                    <xdr:col>35</xdr:col>
                    <xdr:colOff>0</xdr:colOff>
                    <xdr:row>19</xdr:row>
                    <xdr:rowOff>0</xdr:rowOff>
                  </from>
                  <to>
                    <xdr:col>36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K2_Click">
                <anchor moveWithCells="1" sizeWithCells="1">
                  <from>
                    <xdr:col>44</xdr:col>
                    <xdr:colOff>0</xdr:colOff>
                    <xdr:row>19</xdr:row>
                    <xdr:rowOff>0</xdr:rowOff>
                  </from>
                  <to>
                    <xdr:col>45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K3_Click">
                <anchor moveWithCells="1" sizeWithCells="1">
                  <from>
                    <xdr:col>49</xdr:col>
                    <xdr:colOff>0</xdr:colOff>
                    <xdr:row>19</xdr:row>
                    <xdr:rowOff>0</xdr:rowOff>
                  </from>
                  <to>
                    <xdr:col>50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OK4_Click">
                <anchor moveWithCells="1" sizeWithCells="1">
                  <from>
                    <xdr:col>54</xdr:col>
                    <xdr:colOff>0</xdr:colOff>
                    <xdr:row>19</xdr:row>
                    <xdr:rowOff>0</xdr:rowOff>
                  </from>
                  <to>
                    <xdr:col>55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OK5_Click">
                <anchor moveWithCells="1" sizeWithCells="1">
                  <from>
                    <xdr:col>34</xdr:col>
                    <xdr:colOff>0</xdr:colOff>
                    <xdr:row>39</xdr:row>
                    <xdr:rowOff>0</xdr:rowOff>
                  </from>
                  <to>
                    <xdr:col>35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K6_Click">
                <anchor moveWithCells="1" sizeWithCells="1">
                  <from>
                    <xdr:col>39</xdr:col>
                    <xdr:colOff>0</xdr:colOff>
                    <xdr:row>39</xdr:row>
                    <xdr:rowOff>0</xdr:rowOff>
                  </from>
                  <to>
                    <xdr:col>40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OK7_Click">
                <anchor moveWithCells="1" sizeWithCells="1">
                  <from>
                    <xdr:col>44</xdr:col>
                    <xdr:colOff>0</xdr:colOff>
                    <xdr:row>39</xdr:row>
                    <xdr:rowOff>0</xdr:rowOff>
                  </from>
                  <to>
                    <xdr:col>45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OK8_Click">
                <anchor moveWithCells="1" sizeWithCells="1">
                  <from>
                    <xdr:col>49</xdr:col>
                    <xdr:colOff>0</xdr:colOff>
                    <xdr:row>39</xdr:row>
                    <xdr:rowOff>0</xdr:rowOff>
                  </from>
                  <to>
                    <xdr:col>50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OK9_Click">
                <anchor moveWithCells="1" sizeWithCells="1">
                  <from>
                    <xdr:col>54</xdr:col>
                    <xdr:colOff>0</xdr:colOff>
                    <xdr:row>39</xdr:row>
                    <xdr:rowOff>0</xdr:rowOff>
                  </from>
                  <to>
                    <xdr:col>55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NG1_Click">
                <anchor moveWithCells="1" sizeWithCells="1">
                  <from>
                    <xdr:col>40</xdr:col>
                    <xdr:colOff>0</xdr:colOff>
                    <xdr:row>19</xdr:row>
                    <xdr:rowOff>0</xdr:rowOff>
                  </from>
                  <to>
                    <xdr:col>41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NG2_Click">
                <anchor moveWithCells="1" sizeWithCells="1">
                  <from>
                    <xdr:col>45</xdr:col>
                    <xdr:colOff>0</xdr:colOff>
                    <xdr:row>19</xdr:row>
                    <xdr:rowOff>0</xdr:rowOff>
                  </from>
                  <to>
                    <xdr:col>46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NG3_Click">
                <anchor moveWithCells="1" sizeWithCells="1">
                  <from>
                    <xdr:col>50</xdr:col>
                    <xdr:colOff>0</xdr:colOff>
                    <xdr:row>19</xdr:row>
                    <xdr:rowOff>0</xdr:rowOff>
                  </from>
                  <to>
                    <xdr:col>51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NG4_Click">
                <anchor moveWithCells="1" sizeWithCells="1">
                  <from>
                    <xdr:col>55</xdr:col>
                    <xdr:colOff>0</xdr:colOff>
                    <xdr:row>19</xdr:row>
                    <xdr:rowOff>0</xdr:rowOff>
                  </from>
                  <to>
                    <xdr:col>56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NG5_Click">
                <anchor moveWithCells="1" sizeWithCells="1">
                  <from>
                    <xdr:col>35</xdr:col>
                    <xdr:colOff>0</xdr:colOff>
                    <xdr:row>39</xdr:row>
                    <xdr:rowOff>0</xdr:rowOff>
                  </from>
                  <to>
                    <xdr:col>36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NG6_Click">
                <anchor moveWithCells="1" sizeWithCells="1">
                  <from>
                    <xdr:col>40</xdr:col>
                    <xdr:colOff>0</xdr:colOff>
                    <xdr:row>39</xdr:row>
                    <xdr:rowOff>0</xdr:rowOff>
                  </from>
                  <to>
                    <xdr:col>41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NG7_Click">
                <anchor moveWithCells="1" sizeWithCells="1">
                  <from>
                    <xdr:col>45</xdr:col>
                    <xdr:colOff>0</xdr:colOff>
                    <xdr:row>39</xdr:row>
                    <xdr:rowOff>0</xdr:rowOff>
                  </from>
                  <to>
                    <xdr:col>46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NG8_Click">
                <anchor moveWithCells="1" sizeWithCells="1">
                  <from>
                    <xdr:col>50</xdr:col>
                    <xdr:colOff>0</xdr:colOff>
                    <xdr:row>39</xdr:row>
                    <xdr:rowOff>0</xdr:rowOff>
                  </from>
                  <to>
                    <xdr:col>51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NG9_Click">
                <anchor moveWithCells="1" sizeWithCells="1">
                  <from>
                    <xdr:col>55</xdr:col>
                    <xdr:colOff>0</xdr:colOff>
                    <xdr:row>39</xdr:row>
                    <xdr:rowOff>0</xdr:rowOff>
                  </from>
                  <to>
                    <xdr:col>56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adachi</dc:creator>
  <cp:lastModifiedBy>安達</cp:lastModifiedBy>
  <dcterms:created xsi:type="dcterms:W3CDTF">2016-07-11T06:13:31Z</dcterms:created>
  <dcterms:modified xsi:type="dcterms:W3CDTF">2018-10-24T20:06:42Z</dcterms:modified>
</cp:coreProperties>
</file>